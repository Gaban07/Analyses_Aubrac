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ngé\3A\Stage\Cervides_Aubrac\Analyse\Analyses_Aubrac\prairies\data\"/>
    </mc:Choice>
  </mc:AlternateContent>
  <xr:revisionPtr revIDLastSave="0" documentId="13_ncr:1_{6B8504A7-1177-434D-AA4D-F9E482A1B70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LISEZ-MOI" sheetId="13" r:id="rId1"/>
    <sheet name="info_points_2026" sheetId="7" r:id="rId2"/>
    <sheet name="info_points" sheetId="9" r:id="rId3"/>
    <sheet name="tableau_floristique" sheetId="12" r:id="rId4"/>
    <sheet name="biomasses" sheetId="1" r:id="rId5"/>
  </sheets>
  <definedNames>
    <definedName name="_xlnm._FilterDatabase" localSheetId="4" hidden="1">biomasses!$A$1:$H$202</definedName>
    <definedName name="_xlnm._FilterDatabase" localSheetId="2" hidden="1">info_points!$A$1:$Q$56</definedName>
    <definedName name="_xlnm._FilterDatabase" localSheetId="3" hidden="1">tableau_floristique!$A$1:$AJ$115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3" i="1"/>
  <c r="F4" i="1"/>
  <c r="F2" i="1"/>
  <c r="F48" i="1" l="1"/>
</calcChain>
</file>

<file path=xl/sharedStrings.xml><?xml version="1.0" encoding="utf-8"?>
<sst xmlns="http://schemas.openxmlformats.org/spreadsheetml/2006/main" count="1502" uniqueCount="478">
  <si>
    <t>Id_EE</t>
  </si>
  <si>
    <t>nb_jours_pose</t>
  </si>
  <si>
    <t>ANGLADE Mathieu</t>
  </si>
  <si>
    <t>Le Bousquet</t>
  </si>
  <si>
    <t>AZEMAR Guy</t>
  </si>
  <si>
    <t>Mas del Puech</t>
  </si>
  <si>
    <t>BOYER Christophe</t>
  </si>
  <si>
    <t>Le Bouscaillou</t>
  </si>
  <si>
    <t>BROUZE Hervé</t>
  </si>
  <si>
    <t>Le Radal</t>
  </si>
  <si>
    <t>COMBACAU THIERRY</t>
  </si>
  <si>
    <t>Le Gircoulès-Hait</t>
  </si>
  <si>
    <t xml:space="preserve">GARDES Mathieu </t>
  </si>
  <si>
    <t>GIRBAL Jérôme</t>
  </si>
  <si>
    <t>Le Pouget</t>
  </si>
  <si>
    <t>ROUS Bernard</t>
  </si>
  <si>
    <t>Le Gircoulès Haut</t>
  </si>
  <si>
    <t>SOLADIÉ J. Claude</t>
  </si>
  <si>
    <t>Vignac</t>
  </si>
  <si>
    <t>Le Plos</t>
  </si>
  <si>
    <t>MARCILLAC Mathieu</t>
  </si>
  <si>
    <t>Prades d'Aubrac</t>
  </si>
  <si>
    <t>Graillette-Haut</t>
  </si>
  <si>
    <t>SERRES Privat</t>
  </si>
  <si>
    <t>Béssière</t>
  </si>
  <si>
    <t>ALAZARD JM - C</t>
  </si>
  <si>
    <t>Le Poujoulis</t>
  </si>
  <si>
    <t>St Chély d'Aubrac</t>
  </si>
  <si>
    <t>AUVROUIN Willy</t>
  </si>
  <si>
    <t>Vergnes Basses</t>
  </si>
  <si>
    <t>Le Bouyssou</t>
  </si>
  <si>
    <t>Bézalière</t>
  </si>
  <si>
    <t>La Vergne</t>
  </si>
  <si>
    <t>Frayssinouse</t>
  </si>
  <si>
    <t>Devèze-Bourrettes</t>
  </si>
  <si>
    <t>Bonnefon</t>
  </si>
  <si>
    <t>CENRAUD Jean Pierre et Denis</t>
  </si>
  <si>
    <t>Lévers</t>
  </si>
  <si>
    <t>Le Burgassou</t>
  </si>
  <si>
    <t>COSTES Claude</t>
  </si>
  <si>
    <t>Les Moissets</t>
  </si>
  <si>
    <t>COUDERC Patrick</t>
  </si>
  <si>
    <t>Sous Bonnefon</t>
  </si>
  <si>
    <t>Freyral</t>
  </si>
  <si>
    <t>DA COSTA Dominique</t>
  </si>
  <si>
    <t>La Place</t>
  </si>
  <si>
    <t>Bosse</t>
  </si>
  <si>
    <t>FOURNIAL Jean Louis</t>
  </si>
  <si>
    <t>29/02/2022</t>
  </si>
  <si>
    <t>DELPUECH Jean-Claude</t>
  </si>
  <si>
    <t>Les Bonals</t>
  </si>
  <si>
    <t>NIEL Serge</t>
  </si>
  <si>
    <t>SOLIGNAC Hadrien</t>
  </si>
  <si>
    <t>La Pleine</t>
  </si>
  <si>
    <t>VIDAL Philippe</t>
  </si>
  <si>
    <t>Sud d'Artigues</t>
  </si>
  <si>
    <t>Nord d'Artigues</t>
  </si>
  <si>
    <t>La Crouzette</t>
  </si>
  <si>
    <t>Les Picades</t>
  </si>
  <si>
    <t>DORDE Angélique</t>
  </si>
  <si>
    <t>Les Cambrassats</t>
  </si>
  <si>
    <t>Le Pointu</t>
  </si>
  <si>
    <t>MIQUEL Pierre</t>
  </si>
  <si>
    <t>Castelviel</t>
  </si>
  <si>
    <t>AUGUY Francis</t>
  </si>
  <si>
    <t>annee</t>
  </si>
  <si>
    <t>date_releve</t>
  </si>
  <si>
    <t>pertes</t>
  </si>
  <si>
    <t>mf_tot_enclos</t>
  </si>
  <si>
    <t>mf_tot_exclos</t>
  </si>
  <si>
    <t>nom</t>
  </si>
  <si>
    <t>commune</t>
  </si>
  <si>
    <t>lieu_dit</t>
  </si>
  <si>
    <t>date_pose</t>
  </si>
  <si>
    <t>PLAGNARD Jean-Paul</t>
  </si>
  <si>
    <t>XL93_approx</t>
  </si>
  <si>
    <t>YL93_approx</t>
  </si>
  <si>
    <t>Castelnau-de-Mandailles</t>
  </si>
  <si>
    <t>CAYREL Jean-René</t>
  </si>
  <si>
    <t>pose_2026</t>
  </si>
  <si>
    <t>NON</t>
  </si>
  <si>
    <t>OUI</t>
  </si>
  <si>
    <t>Trifolium pratense</t>
  </si>
  <si>
    <t>Bromus hordeaceus</t>
  </si>
  <si>
    <t>Plantago lanceolata</t>
  </si>
  <si>
    <t>Achillea millefolium</t>
  </si>
  <si>
    <t>Rumex acetosella</t>
  </si>
  <si>
    <t>Vicia sativa</t>
  </si>
  <si>
    <t>Ranunculus bulbosus</t>
  </si>
  <si>
    <t>Lolium perenne</t>
  </si>
  <si>
    <t>Linum bienne</t>
  </si>
  <si>
    <t>Cerastium glomeratum</t>
  </si>
  <si>
    <t>Leucanthemum vulgare</t>
  </si>
  <si>
    <t>Trifolium incarnatum</t>
  </si>
  <si>
    <t>Holcus lanatus</t>
  </si>
  <si>
    <t>Veronica arvensis</t>
  </si>
  <si>
    <t>Rubus fruticosus</t>
  </si>
  <si>
    <t>Dactylis glomerata</t>
  </si>
  <si>
    <t>Festuca heterophyla</t>
  </si>
  <si>
    <t>Bellis annua</t>
  </si>
  <si>
    <t>Trifolium repens</t>
  </si>
  <si>
    <t>Lotus corniculatus</t>
  </si>
  <si>
    <t>Caardus nutans</t>
  </si>
  <si>
    <t>Urtica dioica</t>
  </si>
  <si>
    <t>Poa pratensis</t>
  </si>
  <si>
    <t>Galium verum</t>
  </si>
  <si>
    <t>Knautia arvensis</t>
  </si>
  <si>
    <t>Agrostis stolonifera</t>
  </si>
  <si>
    <t>Arrhenatherum elatius</t>
  </si>
  <si>
    <t>Rumex obtusifolius</t>
  </si>
  <si>
    <t>Geranium dissectum</t>
  </si>
  <si>
    <t>Poa trivialis</t>
  </si>
  <si>
    <t>Vicia hirsuta</t>
  </si>
  <si>
    <t>Centaurea nigra</t>
  </si>
  <si>
    <t>Lathyrus pratensis</t>
  </si>
  <si>
    <t>Avenula pubescens</t>
  </si>
  <si>
    <t>Bromus erecta</t>
  </si>
  <si>
    <t>Carex flacca</t>
  </si>
  <si>
    <t>Galium mollugo</t>
  </si>
  <si>
    <t>Pimpinella saxifraga</t>
  </si>
  <si>
    <t>Trifolium ochroleucon</t>
  </si>
  <si>
    <t>Anacamptis pyramidalis</t>
  </si>
  <si>
    <t>Primula veris</t>
  </si>
  <si>
    <t>Id_EE_2023</t>
  </si>
  <si>
    <t>XL93_reel</t>
  </si>
  <si>
    <t>YL93_reel</t>
  </si>
  <si>
    <t>POSE_ENCLOS</t>
  </si>
  <si>
    <t>NOM</t>
  </si>
  <si>
    <t>AVROUIN Willy</t>
  </si>
  <si>
    <t>BAILLEAU Jean-François</t>
  </si>
  <si>
    <t>REMARQUES</t>
  </si>
  <si>
    <t>FAUCHE</t>
  </si>
  <si>
    <t>pose_2020</t>
  </si>
  <si>
    <t>pose_2021</t>
  </si>
  <si>
    <t>pose_2022</t>
  </si>
  <si>
    <t>pose_2023</t>
  </si>
  <si>
    <t>pose_2024</t>
  </si>
  <si>
    <t>pose_2025</t>
  </si>
  <si>
    <t>Puy de Barry</t>
  </si>
  <si>
    <t>La Mériquerie</t>
  </si>
  <si>
    <t>P1A</t>
  </si>
  <si>
    <t>P1B</t>
  </si>
  <si>
    <t>P1C</t>
  </si>
  <si>
    <t>P1D</t>
  </si>
  <si>
    <t>Mériguéri</t>
  </si>
  <si>
    <t>P3A</t>
  </si>
  <si>
    <t>P3B</t>
  </si>
  <si>
    <t>P4</t>
  </si>
  <si>
    <t>P5</t>
  </si>
  <si>
    <t>Remarques</t>
  </si>
  <si>
    <t>L'Estrade</t>
  </si>
  <si>
    <t>P7A</t>
  </si>
  <si>
    <t>P7B</t>
  </si>
  <si>
    <t>Le Gircoulès</t>
  </si>
  <si>
    <t>P8A</t>
  </si>
  <si>
    <t>P8B</t>
  </si>
  <si>
    <t>P8C</t>
  </si>
  <si>
    <t>P8D</t>
  </si>
  <si>
    <t>P9</t>
  </si>
  <si>
    <t>Vernet</t>
  </si>
  <si>
    <t>P10</t>
  </si>
  <si>
    <t>P11A</t>
  </si>
  <si>
    <t>P11B</t>
  </si>
  <si>
    <t>P12</t>
  </si>
  <si>
    <t>P13B</t>
  </si>
  <si>
    <t>P14</t>
  </si>
  <si>
    <t>VIDAL - VAYSSADE Jean-Louis et Marc</t>
  </si>
  <si>
    <t>P15</t>
  </si>
  <si>
    <t>P11D</t>
  </si>
  <si>
    <t>P2</t>
  </si>
  <si>
    <t>P6</t>
  </si>
  <si>
    <t>voir avec JFB pour 2025</t>
  </si>
  <si>
    <t>apparait comme enclos 16 pour le relevé phyto 2026</t>
  </si>
  <si>
    <t>P16</t>
  </si>
  <si>
    <t>P18</t>
  </si>
  <si>
    <t>P19</t>
  </si>
  <si>
    <t>P21</t>
  </si>
  <si>
    <t>P20B</t>
  </si>
  <si>
    <t>P22</t>
  </si>
  <si>
    <t>P33</t>
  </si>
  <si>
    <t>P23B</t>
  </si>
  <si>
    <t>mauvaises coordonnées pour 2024, égales à celle de P2</t>
  </si>
  <si>
    <t>Lamic</t>
  </si>
  <si>
    <t>P24A</t>
  </si>
  <si>
    <t>P24B</t>
  </si>
  <si>
    <t>Grand Champ</t>
  </si>
  <si>
    <t>P25</t>
  </si>
  <si>
    <t>P26</t>
  </si>
  <si>
    <t>P27</t>
  </si>
  <si>
    <t>P28</t>
  </si>
  <si>
    <t>P29</t>
  </si>
  <si>
    <t>inversion 28 à 29 en 2024, indiqué comme Grand Champ en 2022 voir avec JFB</t>
  </si>
  <si>
    <t>impossible de localiser précisemment l'enclos pour les années 2020 et 2021</t>
  </si>
  <si>
    <t>P30B</t>
  </si>
  <si>
    <t>P30A</t>
  </si>
  <si>
    <t>Champ de la Borie</t>
  </si>
  <si>
    <t>P30C</t>
  </si>
  <si>
    <t>Jalasou</t>
  </si>
  <si>
    <t>La Borie du Gasc</t>
  </si>
  <si>
    <t>P31</t>
  </si>
  <si>
    <t>P32A</t>
  </si>
  <si>
    <t>P32B</t>
  </si>
  <si>
    <t>PHYTO_2026</t>
  </si>
  <si>
    <t>P34</t>
  </si>
  <si>
    <t>P35A</t>
  </si>
  <si>
    <t>P35B</t>
  </si>
  <si>
    <t>694022 </t>
  </si>
  <si>
    <t>6384391 </t>
  </si>
  <si>
    <t>P36</t>
  </si>
  <si>
    <t>P37</t>
  </si>
  <si>
    <t>P39</t>
  </si>
  <si>
    <t>P40</t>
  </si>
  <si>
    <t>PHYTO</t>
  </si>
  <si>
    <t>BOISSONNADE Thierry</t>
  </si>
  <si>
    <t>enclos non posé et parcelle fauchée avant d'avoir pu faire le relevé phyto en 2026</t>
  </si>
  <si>
    <t>relevé phyto 2026 non réalisé car non présent sur le mauvais fichier coordonnées, parcelle fauchée peu avant les prélévements en 2026</t>
  </si>
  <si>
    <t>DEPLACE</t>
  </si>
  <si>
    <t>voir avec JFB pour 2025, relevé phyto fait au niveau de P38B</t>
  </si>
  <si>
    <t>inversion 28 à 29 en 2024 et phyto 2026</t>
  </si>
  <si>
    <t>interchanger avec 22 pour la biomasse 2026</t>
  </si>
  <si>
    <t>interchanger avec 21 pour la biomasse 2026</t>
  </si>
  <si>
    <t>Rumex acetosa</t>
  </si>
  <si>
    <t>Tragopogon pratensis</t>
  </si>
  <si>
    <t>relevé phyto fait rapidement pendant les prélévements, non exaustif sur la placette</t>
  </si>
  <si>
    <t>Pbonus</t>
  </si>
  <si>
    <t>P17</t>
  </si>
  <si>
    <t>Agrostis capillaris</t>
  </si>
  <si>
    <t>Alopecurus pratensis</t>
  </si>
  <si>
    <t>Anthoxanthum odoratum</t>
  </si>
  <si>
    <t>Arenaria serpyllifolia</t>
  </si>
  <si>
    <t>Armeria montana</t>
  </si>
  <si>
    <t>Bellis perennis</t>
  </si>
  <si>
    <t>Brachypodium pinnatum</t>
  </si>
  <si>
    <t>Briza media</t>
  </si>
  <si>
    <t>Bromus racemosus</t>
  </si>
  <si>
    <t>Campanula glomerata</t>
  </si>
  <si>
    <t>Capsella bursa pastoris</t>
  </si>
  <si>
    <t>Carex hirta</t>
  </si>
  <si>
    <t>Carex ovalis</t>
  </si>
  <si>
    <t>Carex sp</t>
  </si>
  <si>
    <t>Centaurea sp</t>
  </si>
  <si>
    <t>Cerastium arvense</t>
  </si>
  <si>
    <t>Cerastium fontanum</t>
  </si>
  <si>
    <t>Cirsium arvense</t>
  </si>
  <si>
    <t>Conopodium majus</t>
  </si>
  <si>
    <t>Cruciata laevipes</t>
  </si>
  <si>
    <t>Cynosurus cristatus</t>
  </si>
  <si>
    <t>Cytisus scoparius</t>
  </si>
  <si>
    <t>Daucus carota</t>
  </si>
  <si>
    <t>Festuca rubra</t>
  </si>
  <si>
    <t>Filipendula vulgaris</t>
  </si>
  <si>
    <t>Gaudinia fragilis</t>
  </si>
  <si>
    <t>Geranium molle</t>
  </si>
  <si>
    <t>Geranium rotundifolium</t>
  </si>
  <si>
    <t>Geum urbanum</t>
  </si>
  <si>
    <t>Heracleum sphondylium</t>
  </si>
  <si>
    <t>Hypochaeris radicata</t>
  </si>
  <si>
    <t>Leopoldia comosa</t>
  </si>
  <si>
    <t>Linum usitatissimum</t>
  </si>
  <si>
    <t>Lolium arundinaceum</t>
  </si>
  <si>
    <t>Lophiolepsis eriophora</t>
  </si>
  <si>
    <t>Luzula campestris</t>
  </si>
  <si>
    <t>Medicago arabica</t>
  </si>
  <si>
    <t>Myosotis arvensis</t>
  </si>
  <si>
    <t>Myosotis discolor</t>
  </si>
  <si>
    <t>Narcissus poeticus</t>
  </si>
  <si>
    <t>Ononis spinosa</t>
  </si>
  <si>
    <t>Orchis ustulata</t>
  </si>
  <si>
    <t>Ornithogalum pyreneicum</t>
  </si>
  <si>
    <t>Ornithopus perpusillus</t>
  </si>
  <si>
    <t>Poa alpina</t>
  </si>
  <si>
    <t>Potentilla reptans</t>
  </si>
  <si>
    <t>Prunus spinosa</t>
  </si>
  <si>
    <t>Ranunculus acris</t>
  </si>
  <si>
    <t>Ranunculus repens</t>
  </si>
  <si>
    <t>Rhinanthus minor</t>
  </si>
  <si>
    <t>Rumex crispus</t>
  </si>
  <si>
    <t>Salvia pratensis</t>
  </si>
  <si>
    <t>Sanguisorba minor</t>
  </si>
  <si>
    <t>Saxifraga granulata</t>
  </si>
  <si>
    <t>Scabiosa columbaria</t>
  </si>
  <si>
    <t>Scleranthus annuus</t>
  </si>
  <si>
    <t>Sherardia arvensis</t>
  </si>
  <si>
    <t>Silene latifolia</t>
  </si>
  <si>
    <t>Silene vulgaris</t>
  </si>
  <si>
    <t>Sisymbrium officinale</t>
  </si>
  <si>
    <t>Stellaria graminea</t>
  </si>
  <si>
    <t>Stellaria media</t>
  </si>
  <si>
    <t>Trifolium dubium</t>
  </si>
  <si>
    <t>Trisetum flavescens</t>
  </si>
  <si>
    <t>Valerianella dentata</t>
  </si>
  <si>
    <t>Veratrum album</t>
  </si>
  <si>
    <t>Veronica chamaedrys</t>
  </si>
  <si>
    <t>Vicia craca</t>
  </si>
  <si>
    <t>Viola arvensis</t>
  </si>
  <si>
    <t>Vulpia bromoides</t>
  </si>
  <si>
    <t>Lychnis flos-cuculi</t>
  </si>
  <si>
    <t>P24C</t>
  </si>
  <si>
    <t>P38</t>
  </si>
  <si>
    <t>divagation vaches en 2026</t>
  </si>
  <si>
    <t>espece</t>
  </si>
  <si>
    <t>nom_parcelle</t>
  </si>
  <si>
    <t>tmoy_2024_hi</t>
  </si>
  <si>
    <t>tmoy_2023_pr</t>
  </si>
  <si>
    <t>tmoy_2022_pr</t>
  </si>
  <si>
    <t>tmoy_2021_pr</t>
  </si>
  <si>
    <t>tmoy_2020_pr</t>
  </si>
  <si>
    <t>tmoy_2024_pr</t>
  </si>
  <si>
    <t>tmin_2024_hi</t>
  </si>
  <si>
    <t>tmin_2023_pr</t>
  </si>
  <si>
    <t>tmin_2022_pr</t>
  </si>
  <si>
    <t>tmin_2021_pr</t>
  </si>
  <si>
    <t>tmin_2020_pr</t>
  </si>
  <si>
    <t>tmin_2024_pr</t>
  </si>
  <si>
    <t>tmax_2024_hi</t>
  </si>
  <si>
    <t>tmax_2023_pr</t>
  </si>
  <si>
    <t>tmax_2022_pr</t>
  </si>
  <si>
    <t>tmax_2021_pr</t>
  </si>
  <si>
    <t>tmax_2020_pr</t>
  </si>
  <si>
    <t>tmax_2024_pr</t>
  </si>
  <si>
    <t>ruth_2024_hi</t>
  </si>
  <si>
    <t>ruth_2023_pr</t>
  </si>
  <si>
    <t>ruth_2022_pr</t>
  </si>
  <si>
    <t>ruth_2021_pr</t>
  </si>
  <si>
    <t>ruth_2020_pr</t>
  </si>
  <si>
    <t>ruth_2024_pr</t>
  </si>
  <si>
    <t>etp_2024_hi</t>
  </si>
  <si>
    <t>etp_2023_pr</t>
  </si>
  <si>
    <t>etp_2022_pr</t>
  </si>
  <si>
    <t>etp_2021_pr</t>
  </si>
  <si>
    <t>etp_2020_pr</t>
  </si>
  <si>
    <t>etp_2024_pr</t>
  </si>
  <si>
    <t>bhc_2024_hi</t>
  </si>
  <si>
    <t>bhc_2023_pr</t>
  </si>
  <si>
    <t>bhc_2022_pr</t>
  </si>
  <si>
    <t>bhc_2021_pr</t>
  </si>
  <si>
    <t>bhc_2020_pr</t>
  </si>
  <si>
    <t>bhc_2024_pr</t>
  </si>
  <si>
    <t>prec_2023_pr</t>
  </si>
  <si>
    <t>prec_2022_pr</t>
  </si>
  <si>
    <t>prec_2021_pr</t>
  </si>
  <si>
    <t>prec_2020_pr</t>
  </si>
  <si>
    <t>prec_2024_pr</t>
  </si>
  <si>
    <t>prec_2024_hi</t>
  </si>
  <si>
    <t>deth_2024_hi</t>
  </si>
  <si>
    <t>PROP_FORET_250</t>
  </si>
  <si>
    <t>PROP_FORET_500</t>
  </si>
  <si>
    <t>PROP_PRAIRIES_250</t>
  </si>
  <si>
    <t>PROP_PRAIRIES_500</t>
  </si>
  <si>
    <t>DIST_DEP</t>
  </si>
  <si>
    <t>DIST_COM</t>
  </si>
  <si>
    <t>DIST_GR</t>
  </si>
  <si>
    <t>DIST_COURS_EAU</t>
  </si>
  <si>
    <t>DIST_BAT</t>
  </si>
  <si>
    <t>SURF_BAT_500</t>
  </si>
  <si>
    <t>ID_PLCT_FRT</t>
  </si>
  <si>
    <t>AMOYj_PLCT_FRT</t>
  </si>
  <si>
    <t>DIST_PLCT_FRT</t>
  </si>
  <si>
    <t>F29</t>
  </si>
  <si>
    <t>Linard</t>
  </si>
  <si>
    <t>F34</t>
  </si>
  <si>
    <t>F15</t>
  </si>
  <si>
    <t>P13</t>
  </si>
  <si>
    <t>Le Puech de Majorel</t>
  </si>
  <si>
    <t>F28</t>
  </si>
  <si>
    <t>F26</t>
  </si>
  <si>
    <t>F20</t>
  </si>
  <si>
    <t>F39</t>
  </si>
  <si>
    <t>F10</t>
  </si>
  <si>
    <t>F16</t>
  </si>
  <si>
    <t>AUGUY Jean-Claude et Jean-Luc</t>
  </si>
  <si>
    <t>F37</t>
  </si>
  <si>
    <t>P20</t>
  </si>
  <si>
    <t>F11</t>
  </si>
  <si>
    <t>F14</t>
  </si>
  <si>
    <t>F12</t>
  </si>
  <si>
    <t>P23</t>
  </si>
  <si>
    <t>F22bis</t>
  </si>
  <si>
    <t>Bonals</t>
  </si>
  <si>
    <t>F40</t>
  </si>
  <si>
    <t>F19</t>
  </si>
  <si>
    <t>F21</t>
  </si>
  <si>
    <t>pas d'enclos posé en 2026 mais relevé phyto réalisé</t>
  </si>
  <si>
    <t>F36</t>
  </si>
  <si>
    <t>La Borie de Bistance</t>
  </si>
  <si>
    <t>F8</t>
  </si>
  <si>
    <t>Les Privats</t>
  </si>
  <si>
    <t>Champ Grand</t>
  </si>
  <si>
    <t>F24</t>
  </si>
  <si>
    <t>F22</t>
  </si>
  <si>
    <t>F17</t>
  </si>
  <si>
    <t>F36bis</t>
  </si>
  <si>
    <t>F35</t>
  </si>
  <si>
    <t>BOISSONADE Thierry</t>
  </si>
  <si>
    <t>F30</t>
  </si>
  <si>
    <t>Bessière</t>
  </si>
  <si>
    <t>F27</t>
  </si>
  <si>
    <t>La Vigne</t>
  </si>
  <si>
    <t>F31</t>
  </si>
  <si>
    <t>GARDES Mathieu</t>
  </si>
  <si>
    <t>La Molière</t>
  </si>
  <si>
    <t>F32</t>
  </si>
  <si>
    <t>info_points_2026</t>
  </si>
  <si>
    <t>Id enclos-exclos selon la nouvelle nomenclature : P (prairie) + ancien numéro + lettre correspondant à un déplacement effectué entre deux années</t>
  </si>
  <si>
    <t>Coordonnée métrique X (Lambert 93)</t>
  </si>
  <si>
    <t>Coordonnée métrique Y (Lambert 93)</t>
  </si>
  <si>
    <t>Pose de l'enclos en 2026</t>
  </si>
  <si>
    <t>Réalisation du relevé phytosociologique en 2026</t>
  </si>
  <si>
    <t>Rélisation de la fauche avant d'avoir pu faire le revé phytosociologique</t>
  </si>
  <si>
    <t>Nom et prénom de l'exploitant</t>
  </si>
  <si>
    <t>info_points</t>
  </si>
  <si>
    <t>Informations sur tous les enclos-exclos posés depuis le début du suivi. NB : Certains enclos peuvent manquer car retirés des analyses (exemple : F17)</t>
  </si>
  <si>
    <t>PRELEV_CHEVREUIL_100HA</t>
  </si>
  <si>
    <t>PRELEV_BICHES_100HA</t>
  </si>
  <si>
    <t>PRELEV_CERF_ELAPHE_100HA</t>
  </si>
  <si>
    <t>ALTI</t>
  </si>
  <si>
    <t>EXPO</t>
  </si>
  <si>
    <t>SURF_BAT_250</t>
  </si>
  <si>
    <t>Proportion de forêt dans une zone tampon de 250m (source : BD Forêt v2 – IGN)</t>
  </si>
  <si>
    <t>Proportion de forêt dans une zone tampon de 500m (source : BD Forêt v2 – IGN)</t>
  </si>
  <si>
    <t>Proportion de prairies (formations herbacées = CS.2.1) dans une zone tampon de 250m (source : OCS GE – IGN)</t>
  </si>
  <si>
    <t>Proportion de prairies (formations herbacées = CS.2.1) dans une zone tampon de 500m (source : OCS GE – IGN)</t>
  </si>
  <si>
    <t>Distance (m) de la placette à une route départementale (source : BD TOPO – IGN)</t>
  </si>
  <si>
    <t>Distance (m) de la placette à une route communale carossée (source : BD TOPO – IGN)</t>
  </si>
  <si>
    <t>Distance (m) de la placette au GR65</t>
  </si>
  <si>
    <t>Distance (m) de la placette au cours d’eau le plus proche (source : BD TOPAGE – IGN)</t>
  </si>
  <si>
    <t>Distance (m) de la placette au bâtiment le plus proche (source : BD TOPO – IGN)</t>
  </si>
  <si>
    <t>Surface (m²) couverte par des bâtiments dans une zone tampon de 250m (source : BD TOPO – IGN)</t>
  </si>
  <si>
    <t>Surface (m²) couverte par des bâtiments dans une zone tampon de 500m (source : BD TOPO – IGN)</t>
  </si>
  <si>
    <t>Informations relatives aux enclos ayant été posés en 2026 ainsi qu'aux placettes ayant fait l'objet de relevé phytosociologique</t>
  </si>
  <si>
    <t>Coordonnée métrique X approximative (Lambert 93)</t>
  </si>
  <si>
    <t>Coordonnée métrique Y approximative (Lambert 93)</t>
  </si>
  <si>
    <t>Commune</t>
  </si>
  <si>
    <t>Lieu-dit ou hameau, peu être identique à nom_parcellle</t>
  </si>
  <si>
    <t>Précision toponymique du lieu_dit</t>
  </si>
  <si>
    <t>pose_202X</t>
  </si>
  <si>
    <t>Pose effective de l'enclos durant l'année 202X (NB : les enclos peuvent avoir été déplacés)</t>
  </si>
  <si>
    <t>Nombre de chevreuils prélevés sur la commune pour 100 ha (saison de chasse 2024-2025)</t>
  </si>
  <si>
    <t>Nombre de cerfs élaphe femelles prélevés sur la commune pour 100 ha (saison de chasse 2024-2025)</t>
  </si>
  <si>
    <t>Nombre de cerfs élaphe (mâles et femelles confondus) prélevés sur la commune pour 100 ha (saison de chasse 2024-2025)</t>
  </si>
  <si>
    <t>Températures moyennes (°C) calculées par modélisation (Briswalter 2021, Piedallu 2023) pour l’hiver 2024 (source : Digitalis – UMR SILVA)</t>
  </si>
  <si>
    <t>Températures moyennes (°C) calculées par modélisation (Briswalter 2021, Piedallu 2023) pour le printemps 2024 (source : Digitalis – UMR SILVA)</t>
  </si>
  <si>
    <t>Températures minimales (°C) calculées par modélisation (Briswalter 2021, Piedallu 2023) pour l’hiver 2024 (source : Digitalis – UMR SILVA)</t>
  </si>
  <si>
    <t>Températures minimales (°C) calculées par modélisation (Briswalter 2021, Piedallu 2023) pour le printemps 2024 (source : Digitalis – UMR SILVA)</t>
  </si>
  <si>
    <t>Températures maximales (°C) calculées par modélisation (Briswalter 2021, Piedallu 2023) pour l’hiver 2024 (source : Digitalis – UMR SILVA)</t>
  </si>
  <si>
    <t>Températures maximales (°C) calculées par modélisation (Briswalter 2021, Piedallu 2023) pour le printemps 2024 (source : Digitalis – UMR SILVA)</t>
  </si>
  <si>
    <t>Réserve utile des sol calculée par modélisation (Briswalter 2021, Piedallu 2023) pour l’hiver 2024 (source : Digitalis – UMR SILVA)</t>
  </si>
  <si>
    <t>Réserve utile des sol calculée par modélisation (Briswalter 2021, Piedallu 2023) pour le printemps 2024 (source : Digitalis – UMR SILVA)</t>
  </si>
  <si>
    <t>Évapotranspiration potentielle calculée avec la formule de Turc (mm) (Piedallu et al, 2013) pour l’hiver 2024 (source : Digitalis – UMR SILVA)</t>
  </si>
  <si>
    <t>Évapotranspiration potentielle calculée avec la formule de Turc (mm) (Piedallu et al, 2013) pour le printemps 2024 (source : Digitalis – UMR SILVA)</t>
  </si>
  <si>
    <t>Bilan hydrique climatique (P-ETP, mm) extrapolé pour l’hiver 2024 (source : Digitalis – UMR SILVA)</t>
  </si>
  <si>
    <t>Bilan hydrique climatique (P-ETP, mm) extrapolé pour le printemps 2024 (source : Digitalis – UMR SILVA)</t>
  </si>
  <si>
    <t>Précipitations (mm) extrapolées par krigeage pour l’hiver 2024 (source : Digitalis – UMR SILVA) (source : Digitalis – UMR SILVA)</t>
  </si>
  <si>
    <t>Précipitations (mm) extrapolées par krigeage pour le printemps 2024 (source : Digitalis – UMR SILVA) (source : Digitalis – UMR SILVA)</t>
  </si>
  <si>
    <t>Déficit d'évaporation en eau des sols calculé avec la formule de Thornthwaite (etp-etr, mm) (Piedallu et al,  2013, 2019) pour l’hiver 2024 (source : Digitalis – UMR SILVA)</t>
  </si>
  <si>
    <t>Exposition (°) calculée à partir du MNT</t>
  </si>
  <si>
    <t>Altitude (m) calculée à partir du MNT</t>
  </si>
  <si>
    <t>Identifiant de la placette forestière 2026 la plus proche</t>
  </si>
  <si>
    <t>Abroutissement moyen (%) de la placette forestirèe 2026 la plus proche</t>
  </si>
  <si>
    <t>Distance à la placette forestière la plus proche</t>
  </si>
  <si>
    <t>tableau_floristique</t>
  </si>
  <si>
    <t>&lt;5%, peu d'individus</t>
  </si>
  <si>
    <t>&lt;5%, nombreux individus</t>
  </si>
  <si>
    <t>5 à 25%</t>
  </si>
  <si>
    <t xml:space="preserve">25 à 50% </t>
  </si>
  <si>
    <t>50 à 75%</t>
  </si>
  <si>
    <t>75 à 100%</t>
  </si>
  <si>
    <t>Tableau d'abondance-dominance issu du relevé phytosociologique (classes de recouvrement ci-dessous)</t>
  </si>
  <si>
    <t>biomasses</t>
  </si>
  <si>
    <t>Données des prélévements de biomasse depuis 2020</t>
  </si>
  <si>
    <t>Date de pose de l'enclos (la donnée peut être manquante)</t>
  </si>
  <si>
    <t>Année du prélévement</t>
  </si>
  <si>
    <t>Date du prélévement</t>
  </si>
  <si>
    <t>Nombre de jours entre la pose de l'enclos et le prélévement</t>
  </si>
  <si>
    <t>Pourcentage de pertes entre l'enclos et l'exclos (pertes = (mf_tot_enclos - mf_tot_exclos) / mf_tot_enclos)</t>
  </si>
  <si>
    <t>Masse fraiche des 6 quadrarts à l'intérieur de l'enclos (g)</t>
  </si>
  <si>
    <t>Masse fraiche des 6 quadrarts de l'exclos (g)</t>
  </si>
  <si>
    <t>DIST_LISIERE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</si>
</sst>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2A6099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4" tint="-0.249977111117893"/>
      <name val="Calibri"/>
      <family val="2"/>
      <charset val="1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645A-0B29-4559-A5E0-8CAB7DCA4876}">
  <dimension ref="A1:B72"/>
  <sheetViews>
    <sheetView zoomScale="85" zoomScaleNormal="85" workbookViewId="0">
      <selection activeCell="B76" sqref="B76"/>
    </sheetView>
  </sheetViews>
  <sheetFormatPr defaultRowHeight="15" x14ac:dyDescent="0.25"/>
  <cols>
    <col min="1" max="1" width="36.140625" style="13" customWidth="1"/>
    <col min="2" max="2" width="132.5703125" customWidth="1"/>
  </cols>
  <sheetData>
    <row r="1" spans="1:2" x14ac:dyDescent="0.25">
      <c r="A1" s="11" t="s">
        <v>402</v>
      </c>
      <c r="B1" s="9" t="s">
        <v>429</v>
      </c>
    </row>
    <row r="2" spans="1:2" x14ac:dyDescent="0.25">
      <c r="A2" s="12" t="s">
        <v>0</v>
      </c>
      <c r="B2" t="s">
        <v>403</v>
      </c>
    </row>
    <row r="3" spans="1:2" x14ac:dyDescent="0.25">
      <c r="A3" s="14" t="s">
        <v>124</v>
      </c>
      <c r="B3" t="s">
        <v>404</v>
      </c>
    </row>
    <row r="4" spans="1:2" x14ac:dyDescent="0.25">
      <c r="A4" s="14" t="s">
        <v>125</v>
      </c>
      <c r="B4" t="s">
        <v>405</v>
      </c>
    </row>
    <row r="5" spans="1:2" x14ac:dyDescent="0.25">
      <c r="A5" s="14" t="s">
        <v>126</v>
      </c>
      <c r="B5" t="s">
        <v>406</v>
      </c>
    </row>
    <row r="6" spans="1:2" x14ac:dyDescent="0.25">
      <c r="A6" s="14" t="s">
        <v>212</v>
      </c>
      <c r="B6" t="s">
        <v>407</v>
      </c>
    </row>
    <row r="7" spans="1:2" x14ac:dyDescent="0.25">
      <c r="A7" s="14" t="s">
        <v>131</v>
      </c>
      <c r="B7" t="s">
        <v>408</v>
      </c>
    </row>
    <row r="8" spans="1:2" x14ac:dyDescent="0.25">
      <c r="A8" s="15" t="s">
        <v>127</v>
      </c>
      <c r="B8" t="s">
        <v>409</v>
      </c>
    </row>
    <row r="10" spans="1:2" x14ac:dyDescent="0.25">
      <c r="A10" s="11" t="s">
        <v>410</v>
      </c>
      <c r="B10" s="9" t="s">
        <v>411</v>
      </c>
    </row>
    <row r="11" spans="1:2" x14ac:dyDescent="0.25">
      <c r="A11" s="14" t="s">
        <v>0</v>
      </c>
      <c r="B11" t="s">
        <v>403</v>
      </c>
    </row>
    <row r="12" spans="1:2" x14ac:dyDescent="0.25">
      <c r="A12" s="14" t="s">
        <v>75</v>
      </c>
      <c r="B12" t="s">
        <v>430</v>
      </c>
    </row>
    <row r="13" spans="1:2" x14ac:dyDescent="0.25">
      <c r="A13" s="14" t="s">
        <v>76</v>
      </c>
      <c r="B13" t="s">
        <v>431</v>
      </c>
    </row>
    <row r="14" spans="1:2" x14ac:dyDescent="0.25">
      <c r="A14" s="14" t="s">
        <v>70</v>
      </c>
      <c r="B14" t="s">
        <v>409</v>
      </c>
    </row>
    <row r="15" spans="1:2" x14ac:dyDescent="0.25">
      <c r="A15" s="14" t="s">
        <v>71</v>
      </c>
      <c r="B15" t="s">
        <v>432</v>
      </c>
    </row>
    <row r="16" spans="1:2" x14ac:dyDescent="0.25">
      <c r="A16" s="14" t="s">
        <v>72</v>
      </c>
      <c r="B16" t="s">
        <v>433</v>
      </c>
    </row>
    <row r="17" spans="1:2" x14ac:dyDescent="0.25">
      <c r="A17" s="14" t="s">
        <v>301</v>
      </c>
      <c r="B17" t="s">
        <v>434</v>
      </c>
    </row>
    <row r="18" spans="1:2" x14ac:dyDescent="0.25">
      <c r="A18" s="14" t="s">
        <v>435</v>
      </c>
      <c r="B18" t="s">
        <v>436</v>
      </c>
    </row>
    <row r="19" spans="1:2" x14ac:dyDescent="0.25">
      <c r="A19" s="14" t="s">
        <v>202</v>
      </c>
      <c r="B19" t="s">
        <v>407</v>
      </c>
    </row>
    <row r="20" spans="1:2" x14ac:dyDescent="0.25">
      <c r="A20" s="14" t="s">
        <v>149</v>
      </c>
    </row>
    <row r="21" spans="1:2" x14ac:dyDescent="0.25">
      <c r="A21" s="12" t="s">
        <v>412</v>
      </c>
      <c r="B21" t="s">
        <v>437</v>
      </c>
    </row>
    <row r="22" spans="1:2" x14ac:dyDescent="0.25">
      <c r="A22" s="12" t="s">
        <v>413</v>
      </c>
      <c r="B22" t="s">
        <v>438</v>
      </c>
    </row>
    <row r="23" spans="1:2" x14ac:dyDescent="0.25">
      <c r="A23" s="12" t="s">
        <v>414</v>
      </c>
      <c r="B23" t="s">
        <v>439</v>
      </c>
    </row>
    <row r="24" spans="1:2" x14ac:dyDescent="0.25">
      <c r="A24" s="14" t="s">
        <v>302</v>
      </c>
      <c r="B24" t="s">
        <v>440</v>
      </c>
    </row>
    <row r="25" spans="1:2" x14ac:dyDescent="0.25">
      <c r="A25" s="14" t="s">
        <v>307</v>
      </c>
      <c r="B25" t="s">
        <v>441</v>
      </c>
    </row>
    <row r="26" spans="1:2" x14ac:dyDescent="0.25">
      <c r="A26" s="14" t="s">
        <v>308</v>
      </c>
      <c r="B26" t="s">
        <v>442</v>
      </c>
    </row>
    <row r="27" spans="1:2" x14ac:dyDescent="0.25">
      <c r="A27" s="14" t="s">
        <v>313</v>
      </c>
      <c r="B27" t="s">
        <v>443</v>
      </c>
    </row>
    <row r="28" spans="1:2" x14ac:dyDescent="0.25">
      <c r="A28" s="14" t="s">
        <v>314</v>
      </c>
      <c r="B28" t="s">
        <v>444</v>
      </c>
    </row>
    <row r="29" spans="1:2" x14ac:dyDescent="0.25">
      <c r="A29" s="14" t="s">
        <v>319</v>
      </c>
      <c r="B29" t="s">
        <v>445</v>
      </c>
    </row>
    <row r="30" spans="1:2" x14ac:dyDescent="0.25">
      <c r="A30" s="14" t="s">
        <v>320</v>
      </c>
      <c r="B30" t="s">
        <v>446</v>
      </c>
    </row>
    <row r="31" spans="1:2" x14ac:dyDescent="0.25">
      <c r="A31" s="14" t="s">
        <v>325</v>
      </c>
      <c r="B31" t="s">
        <v>447</v>
      </c>
    </row>
    <row r="32" spans="1:2" x14ac:dyDescent="0.25">
      <c r="A32" s="14" t="s">
        <v>326</v>
      </c>
      <c r="B32" t="s">
        <v>448</v>
      </c>
    </row>
    <row r="33" spans="1:2" x14ac:dyDescent="0.25">
      <c r="A33" s="14" t="s">
        <v>331</v>
      </c>
      <c r="B33" t="s">
        <v>449</v>
      </c>
    </row>
    <row r="34" spans="1:2" x14ac:dyDescent="0.25">
      <c r="A34" s="14" t="s">
        <v>332</v>
      </c>
      <c r="B34" t="s">
        <v>450</v>
      </c>
    </row>
    <row r="35" spans="1:2" x14ac:dyDescent="0.25">
      <c r="A35" s="14" t="s">
        <v>337</v>
      </c>
      <c r="B35" t="s">
        <v>451</v>
      </c>
    </row>
    <row r="36" spans="1:2" x14ac:dyDescent="0.25">
      <c r="A36" s="14" t="s">
        <v>342</v>
      </c>
      <c r="B36" t="s">
        <v>453</v>
      </c>
    </row>
    <row r="37" spans="1:2" x14ac:dyDescent="0.25">
      <c r="A37" s="14" t="s">
        <v>343</v>
      </c>
      <c r="B37" t="s">
        <v>452</v>
      </c>
    </row>
    <row r="38" spans="1:2" x14ac:dyDescent="0.25">
      <c r="A38" s="14" t="s">
        <v>344</v>
      </c>
      <c r="B38" t="s">
        <v>454</v>
      </c>
    </row>
    <row r="39" spans="1:2" x14ac:dyDescent="0.25">
      <c r="A39" s="14" t="s">
        <v>416</v>
      </c>
      <c r="B39" t="s">
        <v>455</v>
      </c>
    </row>
    <row r="40" spans="1:2" x14ac:dyDescent="0.25">
      <c r="A40" s="14" t="s">
        <v>415</v>
      </c>
      <c r="B40" t="s">
        <v>456</v>
      </c>
    </row>
    <row r="41" spans="1:2" x14ac:dyDescent="0.25">
      <c r="A41" s="14" t="s">
        <v>345</v>
      </c>
      <c r="B41" t="s">
        <v>418</v>
      </c>
    </row>
    <row r="42" spans="1:2" x14ac:dyDescent="0.25">
      <c r="A42" s="14" t="s">
        <v>346</v>
      </c>
      <c r="B42" t="s">
        <v>419</v>
      </c>
    </row>
    <row r="43" spans="1:2" x14ac:dyDescent="0.25">
      <c r="A43" s="14" t="s">
        <v>347</v>
      </c>
      <c r="B43" t="s">
        <v>420</v>
      </c>
    </row>
    <row r="44" spans="1:2" x14ac:dyDescent="0.25">
      <c r="A44" s="14" t="s">
        <v>348</v>
      </c>
      <c r="B44" t="s">
        <v>421</v>
      </c>
    </row>
    <row r="45" spans="1:2" x14ac:dyDescent="0.25">
      <c r="A45" s="14" t="s">
        <v>349</v>
      </c>
      <c r="B45" t="s">
        <v>422</v>
      </c>
    </row>
    <row r="46" spans="1:2" x14ac:dyDescent="0.25">
      <c r="A46" s="14" t="s">
        <v>350</v>
      </c>
      <c r="B46" t="s">
        <v>423</v>
      </c>
    </row>
    <row r="47" spans="1:2" x14ac:dyDescent="0.25">
      <c r="A47" s="14" t="s">
        <v>351</v>
      </c>
      <c r="B47" t="s">
        <v>424</v>
      </c>
    </row>
    <row r="48" spans="1:2" x14ac:dyDescent="0.25">
      <c r="A48" s="14" t="s">
        <v>352</v>
      </c>
      <c r="B48" t="s">
        <v>425</v>
      </c>
    </row>
    <row r="49" spans="1:2" x14ac:dyDescent="0.25">
      <c r="A49" s="14" t="s">
        <v>353</v>
      </c>
      <c r="B49" t="s">
        <v>426</v>
      </c>
    </row>
    <row r="50" spans="1:2" x14ac:dyDescent="0.25">
      <c r="A50" s="14" t="s">
        <v>417</v>
      </c>
      <c r="B50" t="s">
        <v>427</v>
      </c>
    </row>
    <row r="51" spans="1:2" x14ac:dyDescent="0.25">
      <c r="A51" s="14" t="s">
        <v>354</v>
      </c>
      <c r="B51" t="s">
        <v>428</v>
      </c>
    </row>
    <row r="52" spans="1:2" x14ac:dyDescent="0.25">
      <c r="A52" s="14" t="s">
        <v>355</v>
      </c>
      <c r="B52" t="s">
        <v>457</v>
      </c>
    </row>
    <row r="53" spans="1:2" x14ac:dyDescent="0.25">
      <c r="A53" s="14" t="s">
        <v>356</v>
      </c>
      <c r="B53" t="s">
        <v>458</v>
      </c>
    </row>
    <row r="54" spans="1:2" x14ac:dyDescent="0.25">
      <c r="A54" s="14" t="s">
        <v>357</v>
      </c>
      <c r="B54" t="s">
        <v>459</v>
      </c>
    </row>
    <row r="56" spans="1:2" x14ac:dyDescent="0.25">
      <c r="A56" s="11" t="s">
        <v>460</v>
      </c>
      <c r="B56" s="9" t="s">
        <v>467</v>
      </c>
    </row>
    <row r="57" spans="1:2" x14ac:dyDescent="0.25">
      <c r="A57" s="13">
        <v>0.5</v>
      </c>
      <c r="B57" t="s">
        <v>461</v>
      </c>
    </row>
    <row r="58" spans="1:2" x14ac:dyDescent="0.25">
      <c r="A58" s="13">
        <v>1</v>
      </c>
      <c r="B58" t="s">
        <v>462</v>
      </c>
    </row>
    <row r="59" spans="1:2" x14ac:dyDescent="0.25">
      <c r="A59" s="13">
        <v>2</v>
      </c>
      <c r="B59" t="s">
        <v>463</v>
      </c>
    </row>
    <row r="60" spans="1:2" x14ac:dyDescent="0.25">
      <c r="A60" s="13">
        <v>3</v>
      </c>
      <c r="B60" t="s">
        <v>464</v>
      </c>
    </row>
    <row r="61" spans="1:2" x14ac:dyDescent="0.25">
      <c r="A61" s="13">
        <v>4</v>
      </c>
      <c r="B61" t="s">
        <v>465</v>
      </c>
    </row>
    <row r="62" spans="1:2" x14ac:dyDescent="0.25">
      <c r="A62" s="13">
        <v>5</v>
      </c>
      <c r="B62" t="s">
        <v>466</v>
      </c>
    </row>
    <row r="64" spans="1:2" x14ac:dyDescent="0.25">
      <c r="A64" s="16" t="s">
        <v>468</v>
      </c>
      <c r="B64" s="17" t="s">
        <v>469</v>
      </c>
    </row>
    <row r="65" spans="1:2" x14ac:dyDescent="0.25">
      <c r="A65" s="18" t="s">
        <v>0</v>
      </c>
      <c r="B65" t="s">
        <v>403</v>
      </c>
    </row>
    <row r="66" spans="1:2" x14ac:dyDescent="0.25">
      <c r="A66" s="18" t="s">
        <v>73</v>
      </c>
      <c r="B66" t="s">
        <v>470</v>
      </c>
    </row>
    <row r="67" spans="1:2" x14ac:dyDescent="0.25">
      <c r="A67" s="18" t="s">
        <v>65</v>
      </c>
      <c r="B67" t="s">
        <v>471</v>
      </c>
    </row>
    <row r="68" spans="1:2" x14ac:dyDescent="0.25">
      <c r="A68" s="18" t="s">
        <v>66</v>
      </c>
      <c r="B68" t="s">
        <v>472</v>
      </c>
    </row>
    <row r="69" spans="1:2" x14ac:dyDescent="0.25">
      <c r="A69" s="18" t="s">
        <v>1</v>
      </c>
      <c r="B69" t="s">
        <v>473</v>
      </c>
    </row>
    <row r="70" spans="1:2" x14ac:dyDescent="0.25">
      <c r="A70" s="18" t="s">
        <v>67</v>
      </c>
      <c r="B70" t="s">
        <v>474</v>
      </c>
    </row>
    <row r="71" spans="1:2" x14ac:dyDescent="0.25">
      <c r="A71" s="18" t="s">
        <v>68</v>
      </c>
      <c r="B71" t="s">
        <v>475</v>
      </c>
    </row>
    <row r="72" spans="1:2" x14ac:dyDescent="0.25">
      <c r="A72" s="18" t="s">
        <v>69</v>
      </c>
      <c r="B72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4226-B944-4068-9D3F-B880BB284BAE}">
  <sheetPr codeName="Feuil2"/>
  <dimension ref="A1:I34"/>
  <sheetViews>
    <sheetView workbookViewId="0">
      <pane ySplit="1" topLeftCell="A2" activePane="bottomLeft" state="frozen"/>
      <selection pane="bottomLeft" activeCell="A4" sqref="A4:XFD4"/>
    </sheetView>
  </sheetViews>
  <sheetFormatPr defaultColWidth="11.42578125" defaultRowHeight="15" x14ac:dyDescent="0.25"/>
  <cols>
    <col min="1" max="2" width="11.42578125" style="3"/>
    <col min="3" max="3" width="13.5703125" style="3" customWidth="1"/>
    <col min="4" max="5" width="14.85546875" style="3" customWidth="1"/>
    <col min="6" max="6" width="11.42578125" style="3"/>
    <col min="7" max="7" width="14.85546875" style="3" customWidth="1"/>
    <col min="8" max="8" width="28.85546875" style="3" customWidth="1"/>
    <col min="9" max="9" width="14.28515625" style="3" customWidth="1"/>
    <col min="10" max="16384" width="11.42578125" style="3"/>
  </cols>
  <sheetData>
    <row r="1" spans="1:9" s="2" customFormat="1" x14ac:dyDescent="0.25">
      <c r="A1" s="2" t="s">
        <v>0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212</v>
      </c>
      <c r="G1" s="2" t="s">
        <v>131</v>
      </c>
      <c r="H1" s="2" t="s">
        <v>127</v>
      </c>
      <c r="I1" s="2" t="s">
        <v>130</v>
      </c>
    </row>
    <row r="2" spans="1:9" x14ac:dyDescent="0.25">
      <c r="A2" s="3" t="s">
        <v>143</v>
      </c>
      <c r="B2" s="3">
        <v>1</v>
      </c>
      <c r="C2" s="3">
        <v>692212.50300000003</v>
      </c>
      <c r="D2" s="3">
        <v>6383406.9179999996</v>
      </c>
      <c r="E2" s="3" t="s">
        <v>81</v>
      </c>
      <c r="F2" s="3" t="s">
        <v>81</v>
      </c>
      <c r="G2" s="3" t="s">
        <v>80</v>
      </c>
      <c r="H2" s="3" t="s">
        <v>2</v>
      </c>
    </row>
    <row r="3" spans="1:9" x14ac:dyDescent="0.25">
      <c r="A3" s="3" t="s">
        <v>169</v>
      </c>
      <c r="B3" s="3">
        <v>2</v>
      </c>
      <c r="C3" s="3">
        <v>691809.39</v>
      </c>
      <c r="D3" s="3">
        <v>6379835.8499999996</v>
      </c>
      <c r="E3" s="3" t="s">
        <v>81</v>
      </c>
      <c r="F3" s="3" t="s">
        <v>81</v>
      </c>
      <c r="G3" s="3" t="s">
        <v>80</v>
      </c>
      <c r="H3" s="3" t="s">
        <v>2</v>
      </c>
    </row>
    <row r="4" spans="1:9" x14ac:dyDescent="0.25">
      <c r="A4" s="3" t="s">
        <v>146</v>
      </c>
      <c r="B4" s="3">
        <v>3</v>
      </c>
      <c r="C4" s="3">
        <v>690899.52</v>
      </c>
      <c r="D4" s="3">
        <v>6382897.1100000003</v>
      </c>
      <c r="E4" s="3" t="s">
        <v>81</v>
      </c>
      <c r="F4" s="3" t="s">
        <v>81</v>
      </c>
      <c r="G4" s="3" t="s">
        <v>80</v>
      </c>
      <c r="H4" s="3" t="s">
        <v>4</v>
      </c>
    </row>
    <row r="5" spans="1:9" x14ac:dyDescent="0.25">
      <c r="A5" s="3" t="s">
        <v>147</v>
      </c>
      <c r="B5" s="3">
        <v>4</v>
      </c>
      <c r="C5" s="3">
        <v>689642.701</v>
      </c>
      <c r="D5" s="3">
        <v>6379980.4369999999</v>
      </c>
      <c r="E5" s="3" t="s">
        <v>81</v>
      </c>
      <c r="F5" s="3" t="s">
        <v>81</v>
      </c>
      <c r="G5" s="3" t="s">
        <v>80</v>
      </c>
      <c r="H5" s="3" t="s">
        <v>213</v>
      </c>
    </row>
    <row r="6" spans="1:9" x14ac:dyDescent="0.25">
      <c r="A6" s="3" t="s">
        <v>148</v>
      </c>
      <c r="B6" s="3">
        <v>5</v>
      </c>
      <c r="C6" s="3">
        <v>691739.3</v>
      </c>
      <c r="D6" s="3">
        <v>6379296.1900000004</v>
      </c>
      <c r="E6" s="3" t="s">
        <v>81</v>
      </c>
      <c r="F6" s="3" t="s">
        <v>81</v>
      </c>
      <c r="G6" s="3" t="s">
        <v>80</v>
      </c>
      <c r="H6" s="3" t="s">
        <v>6</v>
      </c>
    </row>
    <row r="7" spans="1:9" x14ac:dyDescent="0.25">
      <c r="A7" s="3" t="s">
        <v>152</v>
      </c>
      <c r="B7" s="3">
        <v>7</v>
      </c>
      <c r="C7" s="3">
        <v>689451.36</v>
      </c>
      <c r="D7" s="3">
        <v>6379599.0999999996</v>
      </c>
      <c r="E7" s="3" t="s">
        <v>81</v>
      </c>
      <c r="F7" s="3" t="s">
        <v>81</v>
      </c>
      <c r="G7" s="3" t="s">
        <v>80</v>
      </c>
      <c r="H7" s="3" t="s">
        <v>10</v>
      </c>
    </row>
    <row r="8" spans="1:9" x14ac:dyDescent="0.25">
      <c r="A8" s="3" t="s">
        <v>156</v>
      </c>
      <c r="B8" s="3">
        <v>8</v>
      </c>
      <c r="C8" s="3">
        <v>688885.01100000006</v>
      </c>
      <c r="D8" s="3">
        <v>6380657.8969999999</v>
      </c>
      <c r="E8" s="3" t="s">
        <v>81</v>
      </c>
      <c r="F8" s="3" t="s">
        <v>81</v>
      </c>
      <c r="G8" s="3" t="s">
        <v>80</v>
      </c>
      <c r="H8" s="3" t="s">
        <v>12</v>
      </c>
    </row>
    <row r="9" spans="1:9" x14ac:dyDescent="0.25">
      <c r="A9" s="3" t="s">
        <v>158</v>
      </c>
      <c r="B9" s="3">
        <v>9</v>
      </c>
      <c r="C9" s="3">
        <v>691354.4</v>
      </c>
      <c r="D9" s="3">
        <v>6381467.2800000003</v>
      </c>
      <c r="E9" s="3" t="s">
        <v>81</v>
      </c>
      <c r="F9" s="3" t="s">
        <v>81</v>
      </c>
      <c r="G9" s="3" t="s">
        <v>80</v>
      </c>
      <c r="H9" s="3" t="s">
        <v>12</v>
      </c>
    </row>
    <row r="10" spans="1:9" x14ac:dyDescent="0.25">
      <c r="A10" s="3" t="s">
        <v>160</v>
      </c>
      <c r="B10" s="3">
        <v>10</v>
      </c>
      <c r="C10" s="3">
        <v>689936.65</v>
      </c>
      <c r="D10" s="3">
        <v>6381221.0099999998</v>
      </c>
      <c r="E10" s="3" t="s">
        <v>81</v>
      </c>
      <c r="F10" s="3" t="s">
        <v>81</v>
      </c>
      <c r="G10" s="3" t="s">
        <v>80</v>
      </c>
      <c r="H10" s="3" t="s">
        <v>13</v>
      </c>
    </row>
    <row r="11" spans="1:9" x14ac:dyDescent="0.25">
      <c r="A11" s="3" t="s">
        <v>168</v>
      </c>
      <c r="B11" s="3">
        <v>11</v>
      </c>
      <c r="E11" s="3" t="s">
        <v>81</v>
      </c>
      <c r="F11" s="3" t="s">
        <v>80</v>
      </c>
      <c r="G11" s="3" t="s">
        <v>81</v>
      </c>
      <c r="H11" s="3" t="s">
        <v>15</v>
      </c>
    </row>
    <row r="12" spans="1:9" x14ac:dyDescent="0.25">
      <c r="A12" s="3" t="s">
        <v>163</v>
      </c>
      <c r="B12" s="3">
        <v>12</v>
      </c>
      <c r="C12" s="3">
        <v>692145.04799999995</v>
      </c>
      <c r="D12" s="3">
        <v>6382400.0690000001</v>
      </c>
      <c r="E12" s="3" t="s">
        <v>80</v>
      </c>
      <c r="F12" s="3" t="s">
        <v>81</v>
      </c>
      <c r="G12" s="3" t="s">
        <v>80</v>
      </c>
      <c r="H12" s="3" t="s">
        <v>17</v>
      </c>
    </row>
    <row r="13" spans="1:9" x14ac:dyDescent="0.25">
      <c r="A13" s="3" t="s">
        <v>164</v>
      </c>
      <c r="B13" s="3">
        <v>13</v>
      </c>
      <c r="C13" s="3">
        <v>688488.03</v>
      </c>
      <c r="D13" s="3">
        <v>6382754.3399999999</v>
      </c>
      <c r="E13" s="3" t="s">
        <v>81</v>
      </c>
      <c r="F13" s="3" t="s">
        <v>81</v>
      </c>
      <c r="G13" s="3" t="s">
        <v>80</v>
      </c>
      <c r="H13" s="3" t="s">
        <v>17</v>
      </c>
    </row>
    <row r="14" spans="1:9" x14ac:dyDescent="0.25">
      <c r="A14" s="3" t="s">
        <v>167</v>
      </c>
      <c r="B14" s="3">
        <v>15</v>
      </c>
      <c r="C14" s="3">
        <v>696243.18400000001</v>
      </c>
      <c r="D14" s="3">
        <v>6383896.2479999997</v>
      </c>
      <c r="E14" s="3" t="s">
        <v>81</v>
      </c>
      <c r="F14" s="3" t="s">
        <v>81</v>
      </c>
      <c r="G14" s="3" t="s">
        <v>80</v>
      </c>
      <c r="H14" s="3" t="s">
        <v>20</v>
      </c>
    </row>
    <row r="15" spans="1:9" x14ac:dyDescent="0.25">
      <c r="A15" s="3" t="s">
        <v>174</v>
      </c>
      <c r="B15" s="3">
        <v>18</v>
      </c>
      <c r="C15" s="3">
        <v>692722.23</v>
      </c>
      <c r="D15" s="3">
        <v>6384928.7599999998</v>
      </c>
      <c r="E15" s="3" t="s">
        <v>81</v>
      </c>
      <c r="F15" s="3" t="s">
        <v>81</v>
      </c>
      <c r="G15" s="3" t="s">
        <v>80</v>
      </c>
      <c r="H15" s="3" t="s">
        <v>25</v>
      </c>
    </row>
    <row r="16" spans="1:9" x14ac:dyDescent="0.25">
      <c r="A16" s="3" t="s">
        <v>175</v>
      </c>
      <c r="B16" s="3">
        <v>19</v>
      </c>
      <c r="C16" s="3">
        <v>692741.94799999997</v>
      </c>
      <c r="D16" s="3">
        <v>6389367.4170000004</v>
      </c>
      <c r="E16" s="3" t="s">
        <v>81</v>
      </c>
      <c r="F16" s="3" t="s">
        <v>81</v>
      </c>
      <c r="G16" s="3" t="s">
        <v>80</v>
      </c>
      <c r="H16" s="3" t="s">
        <v>128</v>
      </c>
    </row>
    <row r="17" spans="1:8" x14ac:dyDescent="0.25">
      <c r="A17" s="3" t="s">
        <v>177</v>
      </c>
      <c r="B17" s="3">
        <v>20</v>
      </c>
      <c r="C17" s="3">
        <v>693449.65</v>
      </c>
      <c r="D17" s="3">
        <v>6388340.3600000003</v>
      </c>
      <c r="E17" s="3" t="s">
        <v>81</v>
      </c>
      <c r="F17" s="3" t="s">
        <v>81</v>
      </c>
      <c r="G17" s="3" t="s">
        <v>80</v>
      </c>
      <c r="H17" s="3" t="s">
        <v>129</v>
      </c>
    </row>
    <row r="18" spans="1:8" x14ac:dyDescent="0.25">
      <c r="A18" s="3" t="s">
        <v>176</v>
      </c>
      <c r="B18" s="3">
        <v>21</v>
      </c>
      <c r="C18" s="3">
        <v>697826.36399999994</v>
      </c>
      <c r="D18" s="3">
        <v>6388994.6140000001</v>
      </c>
      <c r="E18" s="3" t="s">
        <v>81</v>
      </c>
      <c r="F18" s="3" t="s">
        <v>81</v>
      </c>
      <c r="G18" s="3" t="s">
        <v>80</v>
      </c>
      <c r="H18" s="3" t="s">
        <v>6</v>
      </c>
    </row>
    <row r="19" spans="1:8" x14ac:dyDescent="0.25">
      <c r="A19" s="3" t="s">
        <v>178</v>
      </c>
      <c r="B19" s="3">
        <v>22</v>
      </c>
      <c r="C19" s="3">
        <v>696262.75399999996</v>
      </c>
      <c r="D19" s="3">
        <v>6388277.6500000004</v>
      </c>
      <c r="E19" s="3" t="s">
        <v>81</v>
      </c>
      <c r="F19" s="3" t="s">
        <v>81</v>
      </c>
      <c r="G19" s="3" t="s">
        <v>80</v>
      </c>
      <c r="H19" s="3" t="s">
        <v>6</v>
      </c>
    </row>
    <row r="20" spans="1:8" x14ac:dyDescent="0.25">
      <c r="A20" s="3" t="s">
        <v>180</v>
      </c>
      <c r="B20" s="3">
        <v>23</v>
      </c>
      <c r="C20" s="3">
        <v>694815.31</v>
      </c>
      <c r="D20" s="3">
        <v>6384900.0199999996</v>
      </c>
      <c r="E20" s="3" t="s">
        <v>81</v>
      </c>
      <c r="F20" s="3" t="s">
        <v>81</v>
      </c>
      <c r="G20" s="3" t="s">
        <v>80</v>
      </c>
      <c r="H20" s="3" t="s">
        <v>78</v>
      </c>
    </row>
    <row r="21" spans="1:8" x14ac:dyDescent="0.25">
      <c r="A21" s="3" t="s">
        <v>183</v>
      </c>
      <c r="C21" s="3">
        <v>693846.48</v>
      </c>
      <c r="D21" s="3">
        <v>6385161.9400000004</v>
      </c>
      <c r="E21" s="3" t="s">
        <v>80</v>
      </c>
      <c r="F21" s="3" t="s">
        <v>81</v>
      </c>
      <c r="G21" s="3" t="s">
        <v>80</v>
      </c>
      <c r="H21" s="3" t="s">
        <v>78</v>
      </c>
    </row>
    <row r="22" spans="1:8" x14ac:dyDescent="0.25">
      <c r="A22" s="3" t="s">
        <v>184</v>
      </c>
      <c r="B22" s="3" t="s">
        <v>216</v>
      </c>
      <c r="C22" s="3">
        <v>694107.65099999995</v>
      </c>
      <c r="D22" s="3">
        <v>6384839.0659999996</v>
      </c>
      <c r="E22" s="3" t="s">
        <v>81</v>
      </c>
      <c r="F22" s="3" t="s">
        <v>81</v>
      </c>
      <c r="G22" s="3" t="s">
        <v>80</v>
      </c>
      <c r="H22" s="3" t="s">
        <v>78</v>
      </c>
    </row>
    <row r="23" spans="1:8" x14ac:dyDescent="0.25">
      <c r="A23" s="3" t="s">
        <v>186</v>
      </c>
      <c r="B23" s="3">
        <v>25</v>
      </c>
      <c r="C23" s="3">
        <v>694338.81599999999</v>
      </c>
      <c r="D23" s="3">
        <v>6384508.5760000004</v>
      </c>
      <c r="E23" s="3" t="s">
        <v>81</v>
      </c>
      <c r="F23" s="3" t="s">
        <v>81</v>
      </c>
      <c r="G23" s="3" t="s">
        <v>80</v>
      </c>
      <c r="H23" s="3" t="s">
        <v>36</v>
      </c>
    </row>
    <row r="24" spans="1:8" x14ac:dyDescent="0.25">
      <c r="A24" s="3" t="s">
        <v>187</v>
      </c>
      <c r="B24" s="3">
        <v>26</v>
      </c>
      <c r="C24" s="3">
        <v>693208.77</v>
      </c>
      <c r="D24" s="3">
        <v>6385272.79</v>
      </c>
      <c r="E24" s="3" t="s">
        <v>80</v>
      </c>
      <c r="F24" s="3" t="s">
        <v>81</v>
      </c>
      <c r="G24" s="3" t="s">
        <v>80</v>
      </c>
      <c r="H24" s="3" t="s">
        <v>39</v>
      </c>
    </row>
    <row r="25" spans="1:8" x14ac:dyDescent="0.25">
      <c r="A25" s="3" t="s">
        <v>188</v>
      </c>
      <c r="B25" s="3">
        <v>27</v>
      </c>
      <c r="C25" s="3">
        <v>695952.45400000003</v>
      </c>
      <c r="D25" s="3">
        <v>6384887.0619999999</v>
      </c>
      <c r="E25" s="3" t="s">
        <v>80</v>
      </c>
      <c r="F25" s="3" t="s">
        <v>81</v>
      </c>
      <c r="G25" s="3" t="s">
        <v>80</v>
      </c>
      <c r="H25" s="3" t="s">
        <v>41</v>
      </c>
    </row>
    <row r="26" spans="1:8" x14ac:dyDescent="0.25">
      <c r="A26" s="3" t="s">
        <v>189</v>
      </c>
      <c r="B26" s="3">
        <v>28</v>
      </c>
      <c r="C26" s="3">
        <v>694861</v>
      </c>
      <c r="D26" s="3">
        <v>6385803.04</v>
      </c>
      <c r="E26" s="3" t="s">
        <v>81</v>
      </c>
      <c r="F26" s="3" t="s">
        <v>81</v>
      </c>
      <c r="G26" s="3" t="s">
        <v>80</v>
      </c>
      <c r="H26" s="3" t="s">
        <v>44</v>
      </c>
    </row>
    <row r="27" spans="1:8" x14ac:dyDescent="0.25">
      <c r="A27" s="3" t="s">
        <v>190</v>
      </c>
      <c r="B27" s="3">
        <v>29</v>
      </c>
      <c r="C27" s="3">
        <v>696678.66500000004</v>
      </c>
      <c r="D27" s="3">
        <v>6385140.2620000001</v>
      </c>
      <c r="E27" s="3" t="s">
        <v>81</v>
      </c>
      <c r="F27" s="3" t="s">
        <v>81</v>
      </c>
      <c r="G27" s="3" t="s">
        <v>80</v>
      </c>
      <c r="H27" s="3" t="s">
        <v>44</v>
      </c>
    </row>
    <row r="28" spans="1:8" x14ac:dyDescent="0.25">
      <c r="A28" s="3" t="s">
        <v>196</v>
      </c>
      <c r="B28" s="3">
        <v>30</v>
      </c>
      <c r="C28" s="3">
        <v>696425.05</v>
      </c>
      <c r="D28" s="3">
        <v>6389667.25</v>
      </c>
      <c r="E28" s="3" t="s">
        <v>80</v>
      </c>
      <c r="F28" s="3" t="s">
        <v>81</v>
      </c>
      <c r="G28" s="3" t="s">
        <v>80</v>
      </c>
      <c r="H28" s="3" t="s">
        <v>47</v>
      </c>
    </row>
    <row r="29" spans="1:8" x14ac:dyDescent="0.25">
      <c r="A29" s="3" t="s">
        <v>201</v>
      </c>
      <c r="C29" s="3">
        <v>694072.18</v>
      </c>
      <c r="D29" s="3">
        <v>6390128.0199999996</v>
      </c>
      <c r="E29" s="3" t="s">
        <v>80</v>
      </c>
      <c r="F29" s="3" t="s">
        <v>81</v>
      </c>
      <c r="G29" s="3" t="s">
        <v>80</v>
      </c>
      <c r="H29" s="3" t="s">
        <v>51</v>
      </c>
    </row>
    <row r="30" spans="1:8" x14ac:dyDescent="0.25">
      <c r="A30" s="3" t="s">
        <v>179</v>
      </c>
      <c r="B30" s="3">
        <v>33</v>
      </c>
      <c r="C30" s="3">
        <v>694729.68400000001</v>
      </c>
      <c r="D30" s="3">
        <v>6385232.1909999996</v>
      </c>
      <c r="E30" s="3" t="s">
        <v>81</v>
      </c>
      <c r="F30" s="3" t="s">
        <v>81</v>
      </c>
      <c r="G30" s="3" t="s">
        <v>80</v>
      </c>
      <c r="H30" s="3" t="s">
        <v>52</v>
      </c>
    </row>
    <row r="31" spans="1:8" x14ac:dyDescent="0.25">
      <c r="A31" s="3" t="s">
        <v>203</v>
      </c>
      <c r="B31" s="3">
        <v>34</v>
      </c>
      <c r="C31" s="3">
        <v>693362.96</v>
      </c>
      <c r="D31" s="3">
        <v>6383747.0300000003</v>
      </c>
      <c r="E31" s="3" t="s">
        <v>81</v>
      </c>
      <c r="F31" s="3" t="s">
        <v>81</v>
      </c>
      <c r="G31" s="3" t="s">
        <v>80</v>
      </c>
      <c r="H31" s="3" t="s">
        <v>54</v>
      </c>
    </row>
    <row r="32" spans="1:8" x14ac:dyDescent="0.25">
      <c r="A32" s="3" t="s">
        <v>205</v>
      </c>
      <c r="B32" s="3">
        <v>35</v>
      </c>
      <c r="C32" s="3" t="s">
        <v>206</v>
      </c>
      <c r="D32" s="3" t="s">
        <v>207</v>
      </c>
      <c r="E32" s="3" t="s">
        <v>81</v>
      </c>
      <c r="F32" s="3" t="s">
        <v>81</v>
      </c>
      <c r="G32" s="3" t="s">
        <v>80</v>
      </c>
      <c r="H32" s="3" t="s">
        <v>54</v>
      </c>
    </row>
    <row r="33" spans="1:9" x14ac:dyDescent="0.25">
      <c r="A33" s="3" t="s">
        <v>208</v>
      </c>
      <c r="B33" s="3">
        <v>36</v>
      </c>
      <c r="C33" s="3">
        <v>698224.67</v>
      </c>
      <c r="D33" s="3">
        <v>6385804.3600000003</v>
      </c>
      <c r="E33" s="3" t="s">
        <v>81</v>
      </c>
      <c r="F33" s="3" t="s">
        <v>81</v>
      </c>
      <c r="G33" s="3" t="s">
        <v>80</v>
      </c>
      <c r="H33" s="3" t="s">
        <v>54</v>
      </c>
    </row>
    <row r="34" spans="1:9" x14ac:dyDescent="0.25">
      <c r="A34" s="3" t="s">
        <v>160</v>
      </c>
      <c r="B34" s="3">
        <v>10</v>
      </c>
      <c r="C34" s="3">
        <v>689936.65</v>
      </c>
      <c r="D34" s="3">
        <v>6381221.0099999998</v>
      </c>
      <c r="E34" s="3" t="s">
        <v>81</v>
      </c>
      <c r="F34" s="3" t="s">
        <v>81</v>
      </c>
      <c r="G34" s="3" t="s">
        <v>80</v>
      </c>
      <c r="H34" s="3" t="s">
        <v>13</v>
      </c>
      <c r="I34" s="3" t="s">
        <v>223</v>
      </c>
    </row>
  </sheetData>
  <dataValidations count="1">
    <dataValidation type="list" allowBlank="1" showInputMessage="1" showErrorMessage="1" sqref="E2:G1048576" xr:uid="{DB3139E0-A74E-477F-B850-4EFAB53D1776}">
      <formula1>"OUI,NON"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4AA6-1D6A-4F9B-AB67-5AA103323D6A}">
  <sheetPr codeName="Feuil3">
    <pageSetUpPr autoPageBreaks="0"/>
  </sheetPr>
  <dimension ref="A1:CA56"/>
  <sheetViews>
    <sheetView tabSelected="1" topLeftCell="A23" zoomScale="75" zoomScaleNormal="85" workbookViewId="0">
      <selection activeCell="N42" sqref="N42"/>
    </sheetView>
  </sheetViews>
  <sheetFormatPr defaultColWidth="11.42578125" defaultRowHeight="15" x14ac:dyDescent="0.25"/>
  <cols>
    <col min="1" max="1" width="11.42578125" style="3"/>
    <col min="2" max="3" width="20" style="3" customWidth="1"/>
    <col min="4" max="4" width="29.42578125" style="3" customWidth="1"/>
    <col min="5" max="5" width="31" style="3" customWidth="1"/>
    <col min="6" max="6" width="22.42578125" style="3" customWidth="1"/>
    <col min="7" max="7" width="15.5703125" style="3" customWidth="1"/>
    <col min="8" max="15" width="11.42578125" style="3"/>
    <col min="16" max="16" width="42.140625" style="3" customWidth="1"/>
    <col min="18" max="16384" width="11.42578125" style="3"/>
  </cols>
  <sheetData>
    <row r="1" spans="1:79" s="2" customFormat="1" x14ac:dyDescent="0.25">
      <c r="A1" s="2" t="s">
        <v>0</v>
      </c>
      <c r="B1" s="2" t="s">
        <v>75</v>
      </c>
      <c r="C1" s="2" t="s">
        <v>76</v>
      </c>
      <c r="D1" s="2" t="s">
        <v>70</v>
      </c>
      <c r="E1" s="2" t="s">
        <v>71</v>
      </c>
      <c r="F1" s="2" t="s">
        <v>72</v>
      </c>
      <c r="G1" s="2" t="s">
        <v>301</v>
      </c>
      <c r="H1" s="2" t="s">
        <v>132</v>
      </c>
      <c r="I1" s="2" t="s">
        <v>133</v>
      </c>
      <c r="J1" s="2" t="s">
        <v>134</v>
      </c>
      <c r="K1" s="2" t="s">
        <v>135</v>
      </c>
      <c r="L1" s="2" t="s">
        <v>136</v>
      </c>
      <c r="M1" s="2" t="s">
        <v>137</v>
      </c>
      <c r="N1" s="2" t="s">
        <v>79</v>
      </c>
      <c r="O1" s="2" t="s">
        <v>202</v>
      </c>
      <c r="P1" s="2" t="s">
        <v>149</v>
      </c>
      <c r="Q1" s="10" t="s">
        <v>412</v>
      </c>
      <c r="R1" s="10" t="s">
        <v>413</v>
      </c>
      <c r="S1" s="10" t="s">
        <v>414</v>
      </c>
      <c r="T1" s="2" t="s">
        <v>302</v>
      </c>
      <c r="U1" s="2" t="s">
        <v>303</v>
      </c>
      <c r="V1" s="2" t="s">
        <v>304</v>
      </c>
      <c r="W1" s="2" t="s">
        <v>305</v>
      </c>
      <c r="X1" s="2" t="s">
        <v>306</v>
      </c>
      <c r="Y1" s="2" t="s">
        <v>307</v>
      </c>
      <c r="Z1" s="2" t="s">
        <v>308</v>
      </c>
      <c r="AA1" s="2" t="s">
        <v>309</v>
      </c>
      <c r="AB1" s="2" t="s">
        <v>310</v>
      </c>
      <c r="AC1" s="2" t="s">
        <v>311</v>
      </c>
      <c r="AD1" s="2" t="s">
        <v>312</v>
      </c>
      <c r="AE1" s="2" t="s">
        <v>313</v>
      </c>
      <c r="AF1" s="2" t="s">
        <v>314</v>
      </c>
      <c r="AG1" s="2" t="s">
        <v>315</v>
      </c>
      <c r="AH1" s="2" t="s">
        <v>316</v>
      </c>
      <c r="AI1" s="2" t="s">
        <v>317</v>
      </c>
      <c r="AJ1" s="2" t="s">
        <v>318</v>
      </c>
      <c r="AK1" s="2" t="s">
        <v>319</v>
      </c>
      <c r="AL1" s="2" t="s">
        <v>320</v>
      </c>
      <c r="AM1" s="2" t="s">
        <v>321</v>
      </c>
      <c r="AN1" s="2" t="s">
        <v>322</v>
      </c>
      <c r="AO1" s="2" t="s">
        <v>323</v>
      </c>
      <c r="AP1" s="2" t="s">
        <v>324</v>
      </c>
      <c r="AQ1" s="2" t="s">
        <v>325</v>
      </c>
      <c r="AR1" s="2" t="s">
        <v>326</v>
      </c>
      <c r="AS1" s="2" t="s">
        <v>327</v>
      </c>
      <c r="AT1" s="2" t="s">
        <v>328</v>
      </c>
      <c r="AU1" s="2" t="s">
        <v>329</v>
      </c>
      <c r="AV1" s="2" t="s">
        <v>330</v>
      </c>
      <c r="AW1" s="2" t="s">
        <v>331</v>
      </c>
      <c r="AX1" s="2" t="s">
        <v>332</v>
      </c>
      <c r="AY1" s="2" t="s">
        <v>333</v>
      </c>
      <c r="AZ1" s="2" t="s">
        <v>334</v>
      </c>
      <c r="BA1" s="2" t="s">
        <v>335</v>
      </c>
      <c r="BB1" s="2" t="s">
        <v>336</v>
      </c>
      <c r="BC1" s="2" t="s">
        <v>337</v>
      </c>
      <c r="BD1" s="2" t="s">
        <v>338</v>
      </c>
      <c r="BE1" s="2" t="s">
        <v>339</v>
      </c>
      <c r="BF1" s="2" t="s">
        <v>340</v>
      </c>
      <c r="BG1" s="2" t="s">
        <v>341</v>
      </c>
      <c r="BH1" s="2" t="s">
        <v>342</v>
      </c>
      <c r="BI1" s="2" t="s">
        <v>343</v>
      </c>
      <c r="BJ1" s="2" t="s">
        <v>344</v>
      </c>
      <c r="BK1" s="2" t="s">
        <v>416</v>
      </c>
      <c r="BL1" s="2" t="s">
        <v>415</v>
      </c>
      <c r="BM1" s="2" t="s">
        <v>345</v>
      </c>
      <c r="BN1" s="2" t="s">
        <v>346</v>
      </c>
      <c r="BO1" s="2" t="s">
        <v>347</v>
      </c>
      <c r="BP1" s="2" t="s">
        <v>348</v>
      </c>
      <c r="BQ1" s="2" t="s">
        <v>349</v>
      </c>
      <c r="BR1" s="2" t="s">
        <v>350</v>
      </c>
      <c r="BS1" s="2" t="s">
        <v>351</v>
      </c>
      <c r="BT1" s="2" t="s">
        <v>352</v>
      </c>
      <c r="BU1" s="2" t="s">
        <v>353</v>
      </c>
      <c r="BV1" s="2" t="s">
        <v>417</v>
      </c>
      <c r="BW1" s="2" t="s">
        <v>354</v>
      </c>
      <c r="BX1" s="2" t="s">
        <v>355</v>
      </c>
      <c r="BY1" s="2" t="s">
        <v>356</v>
      </c>
      <c r="BZ1" s="2" t="s">
        <v>357</v>
      </c>
      <c r="CA1" s="18" t="s">
        <v>477</v>
      </c>
    </row>
    <row r="2" spans="1:79" x14ac:dyDescent="0.25">
      <c r="A2" s="3" t="s">
        <v>160</v>
      </c>
      <c r="B2" s="4">
        <v>689936.65</v>
      </c>
      <c r="C2" s="4">
        <v>6381221.0099999998</v>
      </c>
      <c r="D2" s="3" t="s">
        <v>13</v>
      </c>
      <c r="E2" s="3" t="s">
        <v>77</v>
      </c>
      <c r="F2" s="3" t="s">
        <v>14</v>
      </c>
      <c r="G2" s="3" t="s">
        <v>14</v>
      </c>
      <c r="H2" s="3" t="s">
        <v>80</v>
      </c>
      <c r="I2" s="3" t="s">
        <v>80</v>
      </c>
      <c r="J2" s="5" t="s">
        <v>80</v>
      </c>
      <c r="K2" s="3" t="s">
        <v>81</v>
      </c>
      <c r="L2" s="3" t="s">
        <v>81</v>
      </c>
      <c r="M2" s="3" t="s">
        <v>81</v>
      </c>
      <c r="N2" s="3" t="s">
        <v>81</v>
      </c>
      <c r="O2" s="7" t="s">
        <v>81</v>
      </c>
      <c r="Q2">
        <v>0.52851000000000004</v>
      </c>
      <c r="R2" s="3">
        <v>1.44645</v>
      </c>
      <c r="S2" s="3">
        <v>4.9791400000000001</v>
      </c>
      <c r="T2" s="3">
        <v>58</v>
      </c>
      <c r="U2" s="3">
        <v>113</v>
      </c>
      <c r="V2" s="3">
        <v>117</v>
      </c>
      <c r="W2" s="3">
        <v>96</v>
      </c>
      <c r="X2" s="3">
        <v>119</v>
      </c>
      <c r="Y2" s="3">
        <v>110</v>
      </c>
      <c r="Z2" s="3">
        <v>15</v>
      </c>
      <c r="AA2" s="3">
        <v>57</v>
      </c>
      <c r="AB2" s="3">
        <v>59</v>
      </c>
      <c r="AC2" s="3">
        <v>38</v>
      </c>
      <c r="AD2" s="3">
        <v>61</v>
      </c>
      <c r="AE2" s="3">
        <v>59</v>
      </c>
      <c r="AF2" s="3">
        <v>100</v>
      </c>
      <c r="AG2" s="3">
        <v>169</v>
      </c>
      <c r="AH2" s="3">
        <v>175</v>
      </c>
      <c r="AI2" s="3">
        <v>155</v>
      </c>
      <c r="AJ2" s="3">
        <v>178</v>
      </c>
      <c r="AK2" s="3">
        <v>161</v>
      </c>
      <c r="AL2" s="3">
        <v>517</v>
      </c>
      <c r="AM2" s="3">
        <v>517</v>
      </c>
      <c r="AN2" s="3">
        <v>248</v>
      </c>
      <c r="AO2" s="3">
        <v>245</v>
      </c>
      <c r="AP2" s="3">
        <v>372</v>
      </c>
      <c r="AQ2" s="3">
        <v>517</v>
      </c>
      <c r="AR2" s="3">
        <v>267</v>
      </c>
      <c r="AS2" s="3">
        <v>911</v>
      </c>
      <c r="AT2" s="3">
        <v>926</v>
      </c>
      <c r="AU2" s="3">
        <v>830</v>
      </c>
      <c r="AV2" s="3">
        <v>951</v>
      </c>
      <c r="AW2" s="3">
        <v>844</v>
      </c>
      <c r="AX2" s="3">
        <v>667</v>
      </c>
      <c r="AY2" s="3">
        <v>285</v>
      </c>
      <c r="AZ2" s="3">
        <v>-518</v>
      </c>
      <c r="BA2" s="3">
        <v>-189</v>
      </c>
      <c r="BB2" s="3">
        <v>-144</v>
      </c>
      <c r="BC2" s="3">
        <v>323</v>
      </c>
      <c r="BD2" s="3">
        <v>3584</v>
      </c>
      <c r="BE2" s="3">
        <v>1212</v>
      </c>
      <c r="BF2" s="3">
        <v>1916</v>
      </c>
      <c r="BG2" s="3">
        <v>2414</v>
      </c>
      <c r="BH2" s="3">
        <v>3508</v>
      </c>
      <c r="BI2" s="3">
        <v>2799</v>
      </c>
      <c r="BJ2" s="3">
        <v>0</v>
      </c>
      <c r="BK2" s="3">
        <v>337.24901999999997</v>
      </c>
      <c r="BL2" s="3">
        <v>523</v>
      </c>
      <c r="BM2" s="3">
        <v>0.37904675999999998</v>
      </c>
      <c r="BN2" s="3">
        <v>0.29791221000000001</v>
      </c>
      <c r="BO2" s="3">
        <v>0.58498550999999999</v>
      </c>
      <c r="BP2" s="3">
        <v>0.66737338000000002</v>
      </c>
      <c r="BQ2" s="3">
        <v>193.65416400000001</v>
      </c>
      <c r="BR2" s="3">
        <v>352.725931</v>
      </c>
      <c r="BS2" s="3">
        <v>1894.0291199999999</v>
      </c>
      <c r="BT2" s="3">
        <v>133.28424699999999</v>
      </c>
      <c r="BU2" s="3">
        <v>305.47300799999999</v>
      </c>
      <c r="BW2" s="3">
        <v>2804.4744599999999</v>
      </c>
      <c r="BX2" s="3" t="s">
        <v>358</v>
      </c>
      <c r="BY2" s="3">
        <v>8.4058641975308603</v>
      </c>
      <c r="BZ2" s="3">
        <v>98.059026900000006</v>
      </c>
      <c r="CA2">
        <v>18.048340644079929</v>
      </c>
    </row>
    <row r="3" spans="1:79" x14ac:dyDescent="0.25">
      <c r="A3" s="3" t="s">
        <v>161</v>
      </c>
      <c r="B3" s="4">
        <v>688697</v>
      </c>
      <c r="C3" s="4">
        <v>6380205</v>
      </c>
      <c r="D3" s="3" t="s">
        <v>15</v>
      </c>
      <c r="E3" s="3" t="s">
        <v>77</v>
      </c>
      <c r="F3" s="3" t="s">
        <v>16</v>
      </c>
      <c r="G3" s="3" t="s">
        <v>359</v>
      </c>
      <c r="H3" s="3" t="s">
        <v>81</v>
      </c>
      <c r="I3" s="3" t="s">
        <v>81</v>
      </c>
      <c r="J3" s="3" t="s">
        <v>81</v>
      </c>
      <c r="K3" s="3" t="s">
        <v>80</v>
      </c>
      <c r="L3" s="3" t="s">
        <v>80</v>
      </c>
      <c r="M3" s="3" t="s">
        <v>80</v>
      </c>
      <c r="N3" s="3" t="s">
        <v>80</v>
      </c>
      <c r="O3" s="7" t="s">
        <v>80</v>
      </c>
      <c r="Q3">
        <v>0.52851000000000004</v>
      </c>
      <c r="R3" s="3">
        <v>1.44645</v>
      </c>
      <c r="S3" s="3">
        <v>4.9791400000000001</v>
      </c>
      <c r="T3" s="3">
        <v>61</v>
      </c>
      <c r="U3" s="3">
        <v>116</v>
      </c>
      <c r="V3" s="3">
        <v>121</v>
      </c>
      <c r="W3" s="3">
        <v>100</v>
      </c>
      <c r="X3" s="3">
        <v>122</v>
      </c>
      <c r="Y3" s="3">
        <v>114</v>
      </c>
      <c r="Z3" s="3">
        <v>17</v>
      </c>
      <c r="AA3" s="3">
        <v>60</v>
      </c>
      <c r="AB3" s="3">
        <v>61</v>
      </c>
      <c r="AC3" s="3">
        <v>40</v>
      </c>
      <c r="AD3" s="3">
        <v>64</v>
      </c>
      <c r="AE3" s="3">
        <v>63</v>
      </c>
      <c r="AF3" s="3">
        <v>102</v>
      </c>
      <c r="AG3" s="3">
        <v>172</v>
      </c>
      <c r="AH3" s="3">
        <v>179</v>
      </c>
      <c r="AI3" s="3">
        <v>158</v>
      </c>
      <c r="AJ3" s="3">
        <v>180</v>
      </c>
      <c r="AK3" s="3">
        <v>165</v>
      </c>
      <c r="AL3" s="3">
        <v>534</v>
      </c>
      <c r="AM3" s="3">
        <v>534</v>
      </c>
      <c r="AN3" s="3">
        <v>255</v>
      </c>
      <c r="AO3" s="3">
        <v>248</v>
      </c>
      <c r="AP3" s="3">
        <v>378</v>
      </c>
      <c r="AQ3" s="3">
        <v>534</v>
      </c>
      <c r="AR3" s="3">
        <v>274</v>
      </c>
      <c r="AS3" s="3">
        <v>925</v>
      </c>
      <c r="AT3" s="3">
        <v>939</v>
      </c>
      <c r="AU3" s="3">
        <v>847</v>
      </c>
      <c r="AV3" s="3">
        <v>973</v>
      </c>
      <c r="AW3" s="3">
        <v>859</v>
      </c>
      <c r="AX3" s="3">
        <v>666</v>
      </c>
      <c r="AY3" s="3">
        <v>275</v>
      </c>
      <c r="AZ3" s="3">
        <v>-525</v>
      </c>
      <c r="BA3" s="3">
        <v>-202</v>
      </c>
      <c r="BB3" s="3">
        <v>-160</v>
      </c>
      <c r="BC3" s="3">
        <v>308</v>
      </c>
      <c r="BD3" s="3">
        <v>3601</v>
      </c>
      <c r="BE3" s="3">
        <v>1232</v>
      </c>
      <c r="BF3" s="3">
        <v>1930</v>
      </c>
      <c r="BG3" s="3">
        <v>2429</v>
      </c>
      <c r="BH3" s="3">
        <v>3506</v>
      </c>
      <c r="BI3" s="3">
        <v>2817</v>
      </c>
      <c r="BJ3" s="3">
        <v>0</v>
      </c>
      <c r="BK3" s="3">
        <v>204.44395</v>
      </c>
      <c r="BL3" s="3">
        <v>524</v>
      </c>
      <c r="BM3" s="3">
        <v>0.30927458000000002</v>
      </c>
      <c r="BN3" s="3">
        <v>0.41409615999999999</v>
      </c>
      <c r="BO3" s="3">
        <v>0.74400087000000004</v>
      </c>
      <c r="BP3" s="3">
        <v>0.66217141000000002</v>
      </c>
      <c r="BQ3" s="3">
        <v>590.087807</v>
      </c>
      <c r="BR3" s="3">
        <v>494.76148799999999</v>
      </c>
      <c r="BS3" s="3">
        <v>1225.7537500000001</v>
      </c>
      <c r="BT3" s="3">
        <v>542.56639199999995</v>
      </c>
      <c r="BU3" s="3">
        <v>33.8044376</v>
      </c>
      <c r="BV3" s="3">
        <v>90.923489799999999</v>
      </c>
      <c r="BW3" s="3">
        <v>394.90603800000002</v>
      </c>
      <c r="BX3" s="3" t="s">
        <v>360</v>
      </c>
      <c r="BY3" s="3">
        <v>21.625330096260299</v>
      </c>
      <c r="BZ3" s="3">
        <v>463.05255099999999</v>
      </c>
      <c r="CA3">
        <v>21.672332592318369</v>
      </c>
    </row>
    <row r="4" spans="1:79" x14ac:dyDescent="0.25">
      <c r="A4" s="3" t="s">
        <v>162</v>
      </c>
      <c r="B4" s="4">
        <v>688963.4</v>
      </c>
      <c r="C4" s="4">
        <v>6380444.5099999998</v>
      </c>
      <c r="D4" s="3" t="s">
        <v>15</v>
      </c>
      <c r="E4" s="3" t="s">
        <v>77</v>
      </c>
      <c r="H4" s="3" t="s">
        <v>80</v>
      </c>
      <c r="I4" s="3" t="s">
        <v>80</v>
      </c>
      <c r="J4" s="3" t="s">
        <v>80</v>
      </c>
      <c r="K4" s="3" t="s">
        <v>81</v>
      </c>
      <c r="L4" s="3" t="s">
        <v>81</v>
      </c>
      <c r="M4" s="3" t="s">
        <v>81</v>
      </c>
      <c r="N4" s="3" t="s">
        <v>81</v>
      </c>
      <c r="O4" s="7" t="s">
        <v>80</v>
      </c>
      <c r="Q4">
        <v>0.52851000000000004</v>
      </c>
      <c r="R4" s="3">
        <v>1.44645</v>
      </c>
      <c r="S4" s="3">
        <v>4.9791400000000001</v>
      </c>
      <c r="T4" s="3">
        <v>61</v>
      </c>
      <c r="U4" s="3">
        <v>116</v>
      </c>
      <c r="V4" s="3">
        <v>121</v>
      </c>
      <c r="W4" s="3">
        <v>100</v>
      </c>
      <c r="X4" s="3">
        <v>122</v>
      </c>
      <c r="Y4" s="3">
        <v>114</v>
      </c>
      <c r="Z4" s="3">
        <v>17</v>
      </c>
      <c r="AA4" s="3">
        <v>60</v>
      </c>
      <c r="AB4" s="3">
        <v>61</v>
      </c>
      <c r="AC4" s="3">
        <v>40</v>
      </c>
      <c r="AD4" s="3">
        <v>64</v>
      </c>
      <c r="AE4" s="3">
        <v>63</v>
      </c>
      <c r="AF4" s="3">
        <v>102</v>
      </c>
      <c r="AG4" s="3">
        <v>172</v>
      </c>
      <c r="AH4" s="3">
        <v>179</v>
      </c>
      <c r="AI4" s="3">
        <v>158</v>
      </c>
      <c r="AJ4" s="3">
        <v>180</v>
      </c>
      <c r="AK4" s="3">
        <v>165</v>
      </c>
      <c r="AL4" s="3">
        <v>534</v>
      </c>
      <c r="AM4" s="3">
        <v>534</v>
      </c>
      <c r="AN4" s="3">
        <v>255</v>
      </c>
      <c r="AO4" s="3">
        <v>248</v>
      </c>
      <c r="AP4" s="3">
        <v>378</v>
      </c>
      <c r="AQ4" s="3">
        <v>534</v>
      </c>
      <c r="AR4" s="3">
        <v>274</v>
      </c>
      <c r="AS4" s="3">
        <v>925</v>
      </c>
      <c r="AT4" s="3">
        <v>939</v>
      </c>
      <c r="AU4" s="3">
        <v>847</v>
      </c>
      <c r="AV4" s="3">
        <v>973</v>
      </c>
      <c r="AW4" s="3">
        <v>859</v>
      </c>
      <c r="AX4" s="3">
        <v>666</v>
      </c>
      <c r="AY4" s="3">
        <v>275</v>
      </c>
      <c r="AZ4" s="3">
        <v>-525</v>
      </c>
      <c r="BA4" s="3">
        <v>-202</v>
      </c>
      <c r="BB4" s="3">
        <v>-160</v>
      </c>
      <c r="BC4" s="3">
        <v>308</v>
      </c>
      <c r="BD4" s="3">
        <v>3601</v>
      </c>
      <c r="BE4" s="3">
        <v>1232</v>
      </c>
      <c r="BF4" s="3">
        <v>1930</v>
      </c>
      <c r="BG4" s="3">
        <v>2429</v>
      </c>
      <c r="BH4" s="3">
        <v>3506</v>
      </c>
      <c r="BI4" s="3">
        <v>2817</v>
      </c>
      <c r="BJ4" s="3">
        <v>0</v>
      </c>
      <c r="BK4" s="3">
        <v>236.30994000000001</v>
      </c>
      <c r="BL4" s="3">
        <v>524</v>
      </c>
      <c r="BM4" s="3">
        <v>0.29121617</v>
      </c>
      <c r="BN4" s="3">
        <v>0.16299216999999999</v>
      </c>
      <c r="BO4" s="3">
        <v>0.6505763</v>
      </c>
      <c r="BP4" s="3">
        <v>0.77948028000000003</v>
      </c>
      <c r="BQ4" s="3">
        <v>315.990297</v>
      </c>
      <c r="BR4" s="3">
        <v>316.92035299999998</v>
      </c>
      <c r="BS4" s="3">
        <v>1309.00785</v>
      </c>
      <c r="BT4" s="3">
        <v>385.92417899999998</v>
      </c>
      <c r="BU4" s="3">
        <v>300.32852700000001</v>
      </c>
      <c r="BW4" s="3">
        <v>4711.64887</v>
      </c>
      <c r="BX4" s="3" t="s">
        <v>360</v>
      </c>
      <c r="BY4" s="3">
        <v>21.625330096260299</v>
      </c>
      <c r="BZ4" s="3">
        <v>104.816551</v>
      </c>
      <c r="CA4">
        <v>3.4766647493357339</v>
      </c>
    </row>
    <row r="5" spans="1:79" x14ac:dyDescent="0.25">
      <c r="A5" s="3" t="s">
        <v>163</v>
      </c>
      <c r="B5" s="4">
        <v>692199.87</v>
      </c>
      <c r="C5" s="4">
        <v>6382396.9400000004</v>
      </c>
      <c r="D5" s="3" t="s">
        <v>17</v>
      </c>
      <c r="E5" s="3" t="s">
        <v>77</v>
      </c>
      <c r="F5" s="3" t="s">
        <v>18</v>
      </c>
      <c r="G5" s="3" t="s">
        <v>18</v>
      </c>
      <c r="H5" s="3" t="s">
        <v>80</v>
      </c>
      <c r="I5" s="3" t="s">
        <v>80</v>
      </c>
      <c r="J5" s="3" t="s">
        <v>80</v>
      </c>
      <c r="K5" s="3" t="s">
        <v>81</v>
      </c>
      <c r="L5" s="3" t="s">
        <v>80</v>
      </c>
      <c r="M5" s="3" t="s">
        <v>80</v>
      </c>
      <c r="N5" s="6" t="s">
        <v>80</v>
      </c>
      <c r="O5" s="7" t="s">
        <v>81</v>
      </c>
      <c r="Q5">
        <v>0.52851000000000004</v>
      </c>
      <c r="R5" s="3">
        <v>1.44645</v>
      </c>
      <c r="S5" s="3">
        <v>4.9791400000000001</v>
      </c>
      <c r="T5" s="3">
        <v>53</v>
      </c>
      <c r="U5" s="3">
        <v>104</v>
      </c>
      <c r="V5" s="3">
        <v>109</v>
      </c>
      <c r="W5" s="3">
        <v>88</v>
      </c>
      <c r="X5" s="3">
        <v>112</v>
      </c>
      <c r="Y5" s="3">
        <v>101</v>
      </c>
      <c r="Z5" s="3">
        <v>8</v>
      </c>
      <c r="AA5" s="3">
        <v>50</v>
      </c>
      <c r="AB5" s="3">
        <v>53</v>
      </c>
      <c r="AC5" s="3">
        <v>30</v>
      </c>
      <c r="AD5" s="3">
        <v>55</v>
      </c>
      <c r="AE5" s="3">
        <v>53</v>
      </c>
      <c r="AF5" s="3">
        <v>94</v>
      </c>
      <c r="AG5" s="3">
        <v>159</v>
      </c>
      <c r="AH5" s="3">
        <v>166</v>
      </c>
      <c r="AI5" s="3">
        <v>145</v>
      </c>
      <c r="AJ5" s="3">
        <v>169</v>
      </c>
      <c r="AK5" s="3">
        <v>151</v>
      </c>
      <c r="AL5" s="3">
        <v>578</v>
      </c>
      <c r="AM5" s="3">
        <v>578</v>
      </c>
      <c r="AN5" s="3">
        <v>302</v>
      </c>
      <c r="AO5" s="3">
        <v>324</v>
      </c>
      <c r="AP5" s="3">
        <v>431</v>
      </c>
      <c r="AQ5" s="3">
        <v>578</v>
      </c>
      <c r="AR5" s="3">
        <v>249</v>
      </c>
      <c r="AS5" s="3">
        <v>868</v>
      </c>
      <c r="AT5" s="3">
        <v>886</v>
      </c>
      <c r="AU5" s="3">
        <v>782</v>
      </c>
      <c r="AV5" s="3">
        <v>924</v>
      </c>
      <c r="AW5" s="3">
        <v>801</v>
      </c>
      <c r="AX5" s="3">
        <v>667</v>
      </c>
      <c r="AY5" s="3">
        <v>321</v>
      </c>
      <c r="AZ5" s="3">
        <v>-497</v>
      </c>
      <c r="BA5" s="3">
        <v>-154</v>
      </c>
      <c r="BB5" s="3">
        <v>-137</v>
      </c>
      <c r="BC5" s="3">
        <v>358</v>
      </c>
      <c r="BD5" s="3">
        <v>3556</v>
      </c>
      <c r="BE5" s="3">
        <v>1179</v>
      </c>
      <c r="BF5" s="3">
        <v>1892</v>
      </c>
      <c r="BG5" s="3">
        <v>2378</v>
      </c>
      <c r="BH5" s="3">
        <v>3497</v>
      </c>
      <c r="BI5" s="3">
        <v>2762</v>
      </c>
      <c r="BJ5" s="3">
        <v>0</v>
      </c>
      <c r="BK5" s="3">
        <v>239.03623999999999</v>
      </c>
      <c r="BL5" s="3">
        <v>687</v>
      </c>
      <c r="BM5" s="3">
        <v>0.52553875999999999</v>
      </c>
      <c r="BN5" s="3">
        <v>0.60371306999999996</v>
      </c>
      <c r="BO5" s="3">
        <v>0.68472845000000004</v>
      </c>
      <c r="BP5" s="3">
        <v>0.43550240000000001</v>
      </c>
      <c r="BQ5" s="3">
        <v>809.34224099999994</v>
      </c>
      <c r="BR5" s="3">
        <v>91.078314000000006</v>
      </c>
      <c r="BS5" s="3">
        <v>2456.2079899999999</v>
      </c>
      <c r="BT5" s="3">
        <v>343.55516999999998</v>
      </c>
      <c r="BU5" s="3">
        <v>48.016773100000002</v>
      </c>
      <c r="BV5" s="3">
        <v>1935.8318099999999</v>
      </c>
      <c r="BW5" s="3">
        <v>3052.7512900000002</v>
      </c>
      <c r="BX5" s="3" t="s">
        <v>361</v>
      </c>
      <c r="BY5" s="3">
        <v>64.6666666666667</v>
      </c>
      <c r="BZ5" s="3">
        <v>311.54630300000002</v>
      </c>
      <c r="CA5">
        <v>82.391604548617167</v>
      </c>
    </row>
    <row r="6" spans="1:79" x14ac:dyDescent="0.25">
      <c r="A6" s="3" t="s">
        <v>362</v>
      </c>
      <c r="B6" s="4">
        <v>688488.03</v>
      </c>
      <c r="C6" s="4">
        <v>6382754.3399999999</v>
      </c>
      <c r="D6" s="3" t="s">
        <v>17</v>
      </c>
      <c r="E6" s="3" t="s">
        <v>77</v>
      </c>
      <c r="G6" s="3" t="s">
        <v>363</v>
      </c>
      <c r="H6" s="3" t="s">
        <v>81</v>
      </c>
      <c r="I6" s="3" t="s">
        <v>81</v>
      </c>
      <c r="J6" s="3" t="s">
        <v>81</v>
      </c>
      <c r="K6" s="3" t="s">
        <v>81</v>
      </c>
      <c r="L6" s="3" t="s">
        <v>81</v>
      </c>
      <c r="M6" s="3" t="s">
        <v>81</v>
      </c>
      <c r="N6" s="3" t="s">
        <v>81</v>
      </c>
      <c r="O6" s="7" t="s">
        <v>81</v>
      </c>
      <c r="Q6">
        <v>0.52851000000000004</v>
      </c>
      <c r="R6" s="3">
        <v>1.44645</v>
      </c>
      <c r="S6" s="3">
        <v>4.9791400000000001</v>
      </c>
      <c r="T6" s="3">
        <v>54</v>
      </c>
      <c r="U6" s="3">
        <v>107</v>
      </c>
      <c r="V6" s="3">
        <v>113</v>
      </c>
      <c r="W6" s="3">
        <v>91</v>
      </c>
      <c r="X6" s="3">
        <v>115</v>
      </c>
      <c r="Y6" s="3">
        <v>105</v>
      </c>
      <c r="Z6" s="3">
        <v>12</v>
      </c>
      <c r="AA6" s="3">
        <v>53</v>
      </c>
      <c r="AB6" s="3">
        <v>55</v>
      </c>
      <c r="AC6" s="3">
        <v>37</v>
      </c>
      <c r="AD6" s="3">
        <v>61</v>
      </c>
      <c r="AE6" s="3">
        <v>54</v>
      </c>
      <c r="AF6" s="3">
        <v>96</v>
      </c>
      <c r="AG6" s="3">
        <v>164</v>
      </c>
      <c r="AH6" s="3">
        <v>170</v>
      </c>
      <c r="AI6" s="3">
        <v>150</v>
      </c>
      <c r="AJ6" s="3">
        <v>172</v>
      </c>
      <c r="AK6" s="3">
        <v>156</v>
      </c>
      <c r="AL6" s="3">
        <v>463</v>
      </c>
      <c r="AM6" s="3">
        <v>463</v>
      </c>
      <c r="AN6" s="3">
        <v>239</v>
      </c>
      <c r="AO6" s="3">
        <v>253</v>
      </c>
      <c r="AP6" s="3">
        <v>355</v>
      </c>
      <c r="AQ6" s="3">
        <v>463</v>
      </c>
      <c r="AR6" s="3">
        <v>248</v>
      </c>
      <c r="AS6" s="3">
        <v>861</v>
      </c>
      <c r="AT6" s="3">
        <v>880</v>
      </c>
      <c r="AU6" s="3">
        <v>783</v>
      </c>
      <c r="AV6" s="3">
        <v>908</v>
      </c>
      <c r="AW6" s="3">
        <v>797</v>
      </c>
      <c r="AX6" s="3">
        <v>694</v>
      </c>
      <c r="AY6" s="3">
        <v>320</v>
      </c>
      <c r="AZ6" s="3">
        <v>-466</v>
      </c>
      <c r="BA6" s="3">
        <v>-137</v>
      </c>
      <c r="BB6" s="3">
        <v>-88</v>
      </c>
      <c r="BC6" s="3">
        <v>385</v>
      </c>
      <c r="BD6" s="3">
        <v>3556</v>
      </c>
      <c r="BE6" s="3">
        <v>1251</v>
      </c>
      <c r="BF6" s="3">
        <v>1944</v>
      </c>
      <c r="BG6" s="3">
        <v>2471</v>
      </c>
      <c r="BH6" s="3">
        <v>3549</v>
      </c>
      <c r="BI6" s="3">
        <v>2841</v>
      </c>
      <c r="BJ6" s="3">
        <v>0</v>
      </c>
      <c r="BK6" s="3">
        <v>195.94540000000001</v>
      </c>
      <c r="BL6" s="3">
        <v>702</v>
      </c>
      <c r="BM6" s="3">
        <v>0.61109818000000005</v>
      </c>
      <c r="BN6" s="3">
        <v>0.74730300000000005</v>
      </c>
      <c r="BO6" s="3">
        <v>0.39950238999999999</v>
      </c>
      <c r="BP6" s="3">
        <v>0.24900393000000001</v>
      </c>
      <c r="BQ6" s="3">
        <v>1121.21982</v>
      </c>
      <c r="BR6" s="3">
        <v>919.19506999999999</v>
      </c>
      <c r="BS6" s="3">
        <v>191.97960800000001</v>
      </c>
      <c r="BT6" s="3">
        <v>533.91291699999999</v>
      </c>
      <c r="BU6" s="3">
        <v>212.42604900000001</v>
      </c>
      <c r="BV6" s="3">
        <v>90.160760600000003</v>
      </c>
      <c r="BW6" s="3">
        <v>90.160760600000003</v>
      </c>
      <c r="BX6" s="3" t="s">
        <v>364</v>
      </c>
      <c r="BY6" s="3">
        <v>1.3333333333333299</v>
      </c>
      <c r="BZ6" s="3">
        <v>457.98922700000003</v>
      </c>
      <c r="CA6">
        <v>26</v>
      </c>
    </row>
    <row r="7" spans="1:79" x14ac:dyDescent="0.25">
      <c r="A7" s="3" t="s">
        <v>165</v>
      </c>
      <c r="B7" s="4">
        <v>690807.68</v>
      </c>
      <c r="C7" s="4">
        <v>6383435.6600000001</v>
      </c>
      <c r="D7" s="3" t="s">
        <v>166</v>
      </c>
      <c r="E7" s="3" t="s">
        <v>77</v>
      </c>
      <c r="G7" s="3" t="s">
        <v>19</v>
      </c>
      <c r="H7" s="3" t="s">
        <v>81</v>
      </c>
      <c r="I7" s="3" t="s">
        <v>81</v>
      </c>
      <c r="J7" s="3" t="s">
        <v>81</v>
      </c>
      <c r="K7" s="3" t="s">
        <v>81</v>
      </c>
      <c r="L7" s="3" t="s">
        <v>81</v>
      </c>
      <c r="M7" s="3" t="s">
        <v>80</v>
      </c>
      <c r="N7" s="3" t="s">
        <v>80</v>
      </c>
      <c r="O7" s="7" t="s">
        <v>80</v>
      </c>
      <c r="P7" s="3" t="s">
        <v>214</v>
      </c>
      <c r="Q7">
        <v>0.52851000000000004</v>
      </c>
      <c r="R7" s="3">
        <v>1.44645</v>
      </c>
      <c r="S7" s="3">
        <v>4.9791400000000001</v>
      </c>
      <c r="T7" s="3">
        <v>50</v>
      </c>
      <c r="U7" s="3">
        <v>100</v>
      </c>
      <c r="V7" s="3">
        <v>105</v>
      </c>
      <c r="W7" s="3">
        <v>83</v>
      </c>
      <c r="X7" s="3">
        <v>107</v>
      </c>
      <c r="Y7" s="3">
        <v>97</v>
      </c>
      <c r="Z7" s="3">
        <v>12</v>
      </c>
      <c r="AA7" s="3">
        <v>52</v>
      </c>
      <c r="AB7" s="3">
        <v>57</v>
      </c>
      <c r="AC7" s="3">
        <v>32</v>
      </c>
      <c r="AD7" s="3">
        <v>57</v>
      </c>
      <c r="AE7" s="3">
        <v>53</v>
      </c>
      <c r="AF7" s="3">
        <v>87</v>
      </c>
      <c r="AG7" s="3">
        <v>150</v>
      </c>
      <c r="AH7" s="3">
        <v>157</v>
      </c>
      <c r="AI7" s="3">
        <v>136</v>
      </c>
      <c r="AJ7" s="3">
        <v>158</v>
      </c>
      <c r="AK7" s="3">
        <v>142</v>
      </c>
      <c r="AL7" s="3">
        <v>483</v>
      </c>
      <c r="AM7" s="3">
        <v>483</v>
      </c>
      <c r="AN7" s="3">
        <v>242</v>
      </c>
      <c r="AO7" s="3">
        <v>260</v>
      </c>
      <c r="AP7" s="3">
        <v>352</v>
      </c>
      <c r="AQ7" s="3">
        <v>483</v>
      </c>
      <c r="AR7" s="3">
        <v>248</v>
      </c>
      <c r="AS7" s="3">
        <v>872</v>
      </c>
      <c r="AT7" s="3">
        <v>893</v>
      </c>
      <c r="AU7" s="3">
        <v>781</v>
      </c>
      <c r="AV7" s="3">
        <v>925</v>
      </c>
      <c r="AW7" s="3">
        <v>804</v>
      </c>
      <c r="AX7" s="3">
        <v>681</v>
      </c>
      <c r="AY7" s="3">
        <v>309</v>
      </c>
      <c r="AZ7" s="3">
        <v>-491</v>
      </c>
      <c r="BA7" s="3">
        <v>-144</v>
      </c>
      <c r="BB7" s="3">
        <v>-121</v>
      </c>
      <c r="BC7" s="3">
        <v>370</v>
      </c>
      <c r="BD7" s="3">
        <v>3539</v>
      </c>
      <c r="BE7" s="3">
        <v>1200</v>
      </c>
      <c r="BF7" s="3">
        <v>1911</v>
      </c>
      <c r="BG7" s="3">
        <v>2409</v>
      </c>
      <c r="BH7" s="3">
        <v>3534</v>
      </c>
      <c r="BI7" s="3">
        <v>2789</v>
      </c>
      <c r="BJ7" s="3">
        <v>0</v>
      </c>
      <c r="BK7" s="3">
        <v>185.19443000000001</v>
      </c>
      <c r="BL7" s="3">
        <v>804</v>
      </c>
      <c r="BM7" s="3">
        <v>0.14844486000000001</v>
      </c>
      <c r="BN7" s="3">
        <v>0.32285599999999998</v>
      </c>
      <c r="BO7" s="3">
        <v>0.79066968000000004</v>
      </c>
      <c r="BP7" s="3">
        <v>0.64545112999999998</v>
      </c>
      <c r="BQ7" s="3">
        <v>1194.6826100000001</v>
      </c>
      <c r="BR7" s="3">
        <v>106.85099099999999</v>
      </c>
      <c r="BS7" s="3">
        <v>1066.4758099999999</v>
      </c>
      <c r="BT7" s="3">
        <v>295.70700699999998</v>
      </c>
      <c r="BU7" s="3">
        <v>500.48089700000003</v>
      </c>
      <c r="BX7" s="3" t="s">
        <v>365</v>
      </c>
      <c r="BY7" s="3">
        <v>60.514907901046499</v>
      </c>
      <c r="BZ7" s="3">
        <v>271.50305800000001</v>
      </c>
      <c r="CA7">
        <v>106.85097460792871</v>
      </c>
    </row>
    <row r="8" spans="1:79" ht="13.5" customHeight="1" x14ac:dyDescent="0.25">
      <c r="A8" s="3" t="s">
        <v>167</v>
      </c>
      <c r="B8" s="4">
        <v>696256.55</v>
      </c>
      <c r="C8" s="4">
        <v>6383900.3700000001</v>
      </c>
      <c r="D8" s="3" t="s">
        <v>20</v>
      </c>
      <c r="E8" s="3" t="s">
        <v>21</v>
      </c>
      <c r="G8" s="3" t="s">
        <v>22</v>
      </c>
      <c r="H8" s="3" t="s">
        <v>81</v>
      </c>
      <c r="I8" s="3" t="s">
        <v>81</v>
      </c>
      <c r="J8" s="3" t="s">
        <v>81</v>
      </c>
      <c r="K8" s="3" t="s">
        <v>81</v>
      </c>
      <c r="L8" s="3" t="s">
        <v>81</v>
      </c>
      <c r="M8" s="3" t="s">
        <v>81</v>
      </c>
      <c r="N8" s="3" t="s">
        <v>81</v>
      </c>
      <c r="O8" s="7" t="s">
        <v>81</v>
      </c>
      <c r="P8" s="3" t="s">
        <v>172</v>
      </c>
      <c r="Q8">
        <v>0.64295000000000002</v>
      </c>
      <c r="R8" s="3">
        <v>0.81440000000000001</v>
      </c>
      <c r="S8" s="3">
        <v>2.2074600000000002</v>
      </c>
      <c r="T8" s="3">
        <v>41</v>
      </c>
      <c r="U8" s="3">
        <v>89</v>
      </c>
      <c r="V8" s="3">
        <v>95</v>
      </c>
      <c r="W8" s="3">
        <v>73</v>
      </c>
      <c r="X8" s="3">
        <v>98</v>
      </c>
      <c r="Y8" s="3">
        <v>85</v>
      </c>
      <c r="Z8" s="3">
        <v>2</v>
      </c>
      <c r="AA8" s="3">
        <v>39</v>
      </c>
      <c r="AB8" s="3">
        <v>42</v>
      </c>
      <c r="AC8" s="3">
        <v>24</v>
      </c>
      <c r="AD8" s="3">
        <v>46</v>
      </c>
      <c r="AE8" s="3">
        <v>39</v>
      </c>
      <c r="AF8" s="3">
        <v>80</v>
      </c>
      <c r="AG8" s="3">
        <v>139</v>
      </c>
      <c r="AH8" s="3">
        <v>147</v>
      </c>
      <c r="AI8" s="3">
        <v>126</v>
      </c>
      <c r="AJ8" s="3">
        <v>152</v>
      </c>
      <c r="AK8" s="3">
        <v>131</v>
      </c>
      <c r="AL8" s="3">
        <v>635</v>
      </c>
      <c r="AM8" s="3">
        <v>635</v>
      </c>
      <c r="AN8" s="3">
        <v>395</v>
      </c>
      <c r="AO8" s="3">
        <v>464</v>
      </c>
      <c r="AP8" s="3">
        <v>525</v>
      </c>
      <c r="AQ8" s="3">
        <v>635</v>
      </c>
      <c r="AR8" s="3">
        <v>200</v>
      </c>
      <c r="AS8" s="3">
        <v>782</v>
      </c>
      <c r="AT8" s="3">
        <v>812</v>
      </c>
      <c r="AU8" s="3">
        <v>689</v>
      </c>
      <c r="AV8" s="3">
        <v>838</v>
      </c>
      <c r="AW8" s="3">
        <v>716</v>
      </c>
      <c r="AX8" s="3">
        <v>693</v>
      </c>
      <c r="AY8" s="3">
        <v>361</v>
      </c>
      <c r="AZ8" s="3">
        <v>-439</v>
      </c>
      <c r="BA8" s="3">
        <v>-73</v>
      </c>
      <c r="BB8" s="3">
        <v>-71</v>
      </c>
      <c r="BC8" s="3">
        <v>436</v>
      </c>
      <c r="BD8" s="3">
        <v>3465</v>
      </c>
      <c r="BE8" s="3">
        <v>1122</v>
      </c>
      <c r="BF8" s="3">
        <v>1852</v>
      </c>
      <c r="BG8" s="3">
        <v>2308</v>
      </c>
      <c r="BH8" s="3">
        <v>3457</v>
      </c>
      <c r="BI8" s="3">
        <v>2692</v>
      </c>
      <c r="BJ8" s="3">
        <v>0</v>
      </c>
      <c r="BK8" s="3">
        <v>270</v>
      </c>
      <c r="BL8" s="3">
        <v>980</v>
      </c>
      <c r="BM8" s="3">
        <v>0.30115720000000001</v>
      </c>
      <c r="BN8" s="3">
        <v>0.50913887000000002</v>
      </c>
      <c r="BO8" s="3">
        <v>0.69189917000000001</v>
      </c>
      <c r="BP8" s="3">
        <v>0.48667238000000002</v>
      </c>
      <c r="BQ8" s="3">
        <v>751.55514500000004</v>
      </c>
      <c r="BR8" s="3">
        <v>678.68499599999996</v>
      </c>
      <c r="BS8" s="3">
        <v>3801.4238300000002</v>
      </c>
      <c r="BT8" s="3">
        <v>506.954049</v>
      </c>
      <c r="BU8" s="3">
        <v>792.23223299999995</v>
      </c>
      <c r="BX8" s="3" t="s">
        <v>366</v>
      </c>
      <c r="BY8" s="3">
        <v>69.316088840736697</v>
      </c>
      <c r="BZ8" s="3">
        <v>246.10930300000001</v>
      </c>
      <c r="CA8">
        <v>107.7575398751739</v>
      </c>
    </row>
    <row r="9" spans="1:79" x14ac:dyDescent="0.25">
      <c r="A9" s="3" t="s">
        <v>173</v>
      </c>
      <c r="B9" s="4">
        <v>695909.02</v>
      </c>
      <c r="C9" s="4">
        <v>6383112.46</v>
      </c>
      <c r="D9" s="3" t="s">
        <v>23</v>
      </c>
      <c r="E9" s="3" t="s">
        <v>21</v>
      </c>
      <c r="F9" s="7"/>
      <c r="G9" s="7" t="s">
        <v>24</v>
      </c>
      <c r="H9" s="3" t="s">
        <v>80</v>
      </c>
      <c r="I9" s="3" t="s">
        <v>81</v>
      </c>
      <c r="J9" s="3" t="s">
        <v>81</v>
      </c>
      <c r="K9" s="3" t="s">
        <v>81</v>
      </c>
      <c r="L9" s="3" t="s">
        <v>81</v>
      </c>
      <c r="M9" s="3" t="s">
        <v>81</v>
      </c>
      <c r="N9" s="3" t="s">
        <v>80</v>
      </c>
      <c r="O9" s="7" t="s">
        <v>80</v>
      </c>
      <c r="P9" s="3" t="s">
        <v>215</v>
      </c>
      <c r="Q9">
        <v>0.64295000000000002</v>
      </c>
      <c r="R9" s="3">
        <v>0.81440000000000001</v>
      </c>
      <c r="S9" s="3">
        <v>2.2074600000000002</v>
      </c>
      <c r="T9" s="3">
        <v>42</v>
      </c>
      <c r="U9" s="3">
        <v>91</v>
      </c>
      <c r="V9" s="3">
        <v>97</v>
      </c>
      <c r="W9" s="3">
        <v>74</v>
      </c>
      <c r="X9" s="3">
        <v>100</v>
      </c>
      <c r="Y9" s="3">
        <v>87</v>
      </c>
      <c r="Z9" s="3">
        <v>5</v>
      </c>
      <c r="AA9" s="3">
        <v>42</v>
      </c>
      <c r="AB9" s="3">
        <v>46</v>
      </c>
      <c r="AC9" s="3">
        <v>27</v>
      </c>
      <c r="AD9" s="3">
        <v>51</v>
      </c>
      <c r="AE9" s="3">
        <v>43</v>
      </c>
      <c r="AF9" s="3">
        <v>83</v>
      </c>
      <c r="AG9" s="3">
        <v>144</v>
      </c>
      <c r="AH9" s="3">
        <v>151</v>
      </c>
      <c r="AI9" s="3">
        <v>129</v>
      </c>
      <c r="AJ9" s="3">
        <v>154</v>
      </c>
      <c r="AK9" s="3">
        <v>135</v>
      </c>
      <c r="AL9" s="3">
        <v>658</v>
      </c>
      <c r="AM9" s="3">
        <v>658</v>
      </c>
      <c r="AN9" s="3">
        <v>415</v>
      </c>
      <c r="AO9" s="3">
        <v>483</v>
      </c>
      <c r="AP9" s="3">
        <v>546</v>
      </c>
      <c r="AQ9" s="3">
        <v>658</v>
      </c>
      <c r="AR9" s="3">
        <v>205</v>
      </c>
      <c r="AS9" s="3">
        <v>788</v>
      </c>
      <c r="AT9" s="3">
        <v>812</v>
      </c>
      <c r="AU9" s="3">
        <v>691</v>
      </c>
      <c r="AV9" s="3">
        <v>843</v>
      </c>
      <c r="AW9" s="3">
        <v>718</v>
      </c>
      <c r="AX9" s="3">
        <v>694</v>
      </c>
      <c r="AY9" s="3">
        <v>376</v>
      </c>
      <c r="AZ9" s="3">
        <v>-437</v>
      </c>
      <c r="BA9" s="3">
        <v>-73</v>
      </c>
      <c r="BB9" s="3">
        <v>-73</v>
      </c>
      <c r="BC9" s="3">
        <v>433</v>
      </c>
      <c r="BD9" s="3">
        <v>3465</v>
      </c>
      <c r="BE9" s="3">
        <v>1122</v>
      </c>
      <c r="BF9" s="3">
        <v>1852</v>
      </c>
      <c r="BG9" s="3">
        <v>2308</v>
      </c>
      <c r="BH9" s="3">
        <v>3457</v>
      </c>
      <c r="BI9" s="3">
        <v>2692</v>
      </c>
      <c r="BJ9" s="3">
        <v>0</v>
      </c>
      <c r="BK9" s="3">
        <v>300.96375</v>
      </c>
      <c r="BL9" s="3">
        <v>968</v>
      </c>
      <c r="BM9" s="3">
        <v>0.18671635</v>
      </c>
      <c r="BN9" s="3">
        <v>0.35895886999999999</v>
      </c>
      <c r="BO9" s="3">
        <v>0.81372999000000001</v>
      </c>
      <c r="BP9" s="3">
        <v>0.63069215000000001</v>
      </c>
      <c r="BQ9" s="3">
        <v>510.80687599999999</v>
      </c>
      <c r="BR9" s="3">
        <v>259.30666400000001</v>
      </c>
      <c r="BS9" s="3">
        <v>4186.3100400000003</v>
      </c>
      <c r="BT9" s="3">
        <v>322.69643000000002</v>
      </c>
      <c r="BU9" s="3">
        <v>106.324005</v>
      </c>
      <c r="BV9" s="3">
        <v>67.749554000000003</v>
      </c>
      <c r="BW9" s="3">
        <v>67.749554000000003</v>
      </c>
      <c r="BX9" s="3" t="s">
        <v>366</v>
      </c>
      <c r="BY9" s="3">
        <v>69.316088840736697</v>
      </c>
      <c r="BZ9" s="3">
        <v>653.34783800000002</v>
      </c>
      <c r="CA9">
        <v>107.6852171840538</v>
      </c>
    </row>
    <row r="10" spans="1:79" x14ac:dyDescent="0.25">
      <c r="A10" s="3" t="s">
        <v>174</v>
      </c>
      <c r="B10" s="4">
        <v>692722.23</v>
      </c>
      <c r="C10" s="4">
        <v>6384928.7599999998</v>
      </c>
      <c r="D10" s="3" t="s">
        <v>25</v>
      </c>
      <c r="E10" s="3" t="s">
        <v>27</v>
      </c>
      <c r="G10" s="3" t="s">
        <v>26</v>
      </c>
      <c r="H10" s="3" t="s">
        <v>81</v>
      </c>
      <c r="I10" s="3" t="s">
        <v>81</v>
      </c>
      <c r="J10" s="3" t="s">
        <v>81</v>
      </c>
      <c r="K10" s="3" t="s">
        <v>80</v>
      </c>
      <c r="L10" s="3" t="s">
        <v>81</v>
      </c>
      <c r="M10" s="3" t="s">
        <v>81</v>
      </c>
      <c r="N10" s="3" t="s">
        <v>81</v>
      </c>
      <c r="O10" s="7" t="s">
        <v>81</v>
      </c>
      <c r="Q10">
        <v>0.12987000000000001</v>
      </c>
      <c r="R10" s="3">
        <v>1</v>
      </c>
      <c r="S10" s="3">
        <v>3.3376600000000001</v>
      </c>
      <c r="T10" s="3">
        <v>44</v>
      </c>
      <c r="U10" s="3">
        <v>92</v>
      </c>
      <c r="V10" s="3">
        <v>98</v>
      </c>
      <c r="W10" s="3">
        <v>75</v>
      </c>
      <c r="X10" s="3">
        <v>100</v>
      </c>
      <c r="Y10" s="3">
        <v>88</v>
      </c>
      <c r="Z10" s="3">
        <v>4</v>
      </c>
      <c r="AA10" s="3">
        <v>43</v>
      </c>
      <c r="AB10" s="3">
        <v>48</v>
      </c>
      <c r="AC10" s="3">
        <v>22</v>
      </c>
      <c r="AD10" s="3">
        <v>48</v>
      </c>
      <c r="AE10" s="3">
        <v>45</v>
      </c>
      <c r="AF10" s="3">
        <v>81</v>
      </c>
      <c r="AG10" s="3">
        <v>141</v>
      </c>
      <c r="AH10" s="3">
        <v>149</v>
      </c>
      <c r="AI10" s="3">
        <v>127</v>
      </c>
      <c r="AJ10" s="3">
        <v>152</v>
      </c>
      <c r="AK10" s="3">
        <v>133</v>
      </c>
      <c r="AL10" s="3">
        <v>535</v>
      </c>
      <c r="AM10" s="3">
        <v>535</v>
      </c>
      <c r="AN10" s="3">
        <v>307</v>
      </c>
      <c r="AO10" s="3">
        <v>352</v>
      </c>
      <c r="AP10" s="3">
        <v>416</v>
      </c>
      <c r="AQ10" s="3">
        <v>535</v>
      </c>
      <c r="AR10" s="3">
        <v>223</v>
      </c>
      <c r="AS10" s="3">
        <v>818</v>
      </c>
      <c r="AT10" s="3">
        <v>846</v>
      </c>
      <c r="AU10" s="3">
        <v>724</v>
      </c>
      <c r="AV10" s="3">
        <v>887</v>
      </c>
      <c r="AW10" s="3">
        <v>750</v>
      </c>
      <c r="AX10" s="3">
        <v>696</v>
      </c>
      <c r="AY10" s="3">
        <v>341</v>
      </c>
      <c r="AZ10" s="3">
        <v>-452</v>
      </c>
      <c r="BA10" s="3">
        <v>-93</v>
      </c>
      <c r="BB10" s="3">
        <v>-91</v>
      </c>
      <c r="BC10" s="3">
        <v>428</v>
      </c>
      <c r="BD10" s="3">
        <v>3483</v>
      </c>
      <c r="BE10" s="3">
        <v>1171</v>
      </c>
      <c r="BF10" s="3">
        <v>1884</v>
      </c>
      <c r="BG10" s="3">
        <v>2375</v>
      </c>
      <c r="BH10" s="3">
        <v>3518</v>
      </c>
      <c r="BI10" s="3">
        <v>2745</v>
      </c>
      <c r="BJ10" s="3">
        <v>0</v>
      </c>
      <c r="BK10" s="3">
        <v>169.43899999999999</v>
      </c>
      <c r="BL10" s="3">
        <v>830</v>
      </c>
      <c r="BM10" s="3">
        <v>0.82455721999999998</v>
      </c>
      <c r="BN10" s="3">
        <v>0.63816349000000006</v>
      </c>
      <c r="BO10" s="3">
        <v>0.41475772999999999</v>
      </c>
      <c r="BP10" s="3">
        <v>0.45880207000000001</v>
      </c>
      <c r="BQ10" s="3">
        <v>1920.4019900000001</v>
      </c>
      <c r="BR10" s="3">
        <v>464.96536900000001</v>
      </c>
      <c r="BS10" s="3">
        <v>869.38630000000001</v>
      </c>
      <c r="BT10" s="3">
        <v>284.02364799999998</v>
      </c>
      <c r="BU10" s="3">
        <v>151.25569200000001</v>
      </c>
      <c r="BV10" s="3">
        <v>53.330019100000001</v>
      </c>
      <c r="BW10" s="3">
        <v>580.12323800000001</v>
      </c>
      <c r="BX10" s="3" t="s">
        <v>367</v>
      </c>
      <c r="BY10" s="3">
        <v>61.25</v>
      </c>
      <c r="BZ10" s="3">
        <v>1453.3863200000001</v>
      </c>
      <c r="CA10">
        <v>95</v>
      </c>
    </row>
    <row r="11" spans="1:79" x14ac:dyDescent="0.25">
      <c r="A11" s="3" t="s">
        <v>175</v>
      </c>
      <c r="B11" s="4">
        <v>692741.86399999994</v>
      </c>
      <c r="C11" s="4">
        <v>6389367.4040000001</v>
      </c>
      <c r="D11" s="3" t="s">
        <v>28</v>
      </c>
      <c r="E11" s="3" t="s">
        <v>27</v>
      </c>
      <c r="F11" s="3" t="s">
        <v>29</v>
      </c>
      <c r="H11" s="3" t="s">
        <v>81</v>
      </c>
      <c r="I11" s="3" t="s">
        <v>81</v>
      </c>
      <c r="J11" s="3" t="s">
        <v>81</v>
      </c>
      <c r="K11" s="3" t="s">
        <v>81</v>
      </c>
      <c r="L11" s="3" t="s">
        <v>81</v>
      </c>
      <c r="M11" s="3" t="s">
        <v>81</v>
      </c>
      <c r="N11" s="3" t="s">
        <v>81</v>
      </c>
      <c r="O11" s="7" t="s">
        <v>81</v>
      </c>
      <c r="Q11">
        <v>0.12987000000000001</v>
      </c>
      <c r="R11" s="3">
        <v>1</v>
      </c>
      <c r="S11" s="3">
        <v>3.3376600000000001</v>
      </c>
      <c r="T11" s="3">
        <v>37</v>
      </c>
      <c r="U11" s="3">
        <v>82</v>
      </c>
      <c r="V11" s="3">
        <v>89</v>
      </c>
      <c r="W11" s="3">
        <v>66</v>
      </c>
      <c r="X11" s="3">
        <v>92</v>
      </c>
      <c r="Y11" s="3">
        <v>79</v>
      </c>
      <c r="Z11" s="3">
        <v>5</v>
      </c>
      <c r="AA11" s="3">
        <v>40</v>
      </c>
      <c r="AB11" s="3">
        <v>45</v>
      </c>
      <c r="AC11" s="3">
        <v>22</v>
      </c>
      <c r="AD11" s="3">
        <v>44</v>
      </c>
      <c r="AE11" s="3">
        <v>39</v>
      </c>
      <c r="AF11" s="3">
        <v>73</v>
      </c>
      <c r="AG11" s="3">
        <v>125</v>
      </c>
      <c r="AH11" s="3">
        <v>135</v>
      </c>
      <c r="AI11" s="3">
        <v>112</v>
      </c>
      <c r="AJ11" s="3">
        <v>141</v>
      </c>
      <c r="AK11" s="3">
        <v>118</v>
      </c>
      <c r="AL11" s="3">
        <v>745</v>
      </c>
      <c r="AM11" s="3">
        <v>745</v>
      </c>
      <c r="AN11" s="3">
        <v>530</v>
      </c>
      <c r="AO11" s="3">
        <v>631</v>
      </c>
      <c r="AP11" s="3">
        <v>635</v>
      </c>
      <c r="AQ11" s="3">
        <v>745</v>
      </c>
      <c r="AR11" s="3">
        <v>191</v>
      </c>
      <c r="AS11" s="3">
        <v>762</v>
      </c>
      <c r="AT11" s="3">
        <v>797</v>
      </c>
      <c r="AU11" s="3">
        <v>660</v>
      </c>
      <c r="AV11" s="3">
        <v>835</v>
      </c>
      <c r="AW11" s="3">
        <v>693</v>
      </c>
      <c r="AX11" s="3">
        <v>727</v>
      </c>
      <c r="AY11" s="3">
        <v>366</v>
      </c>
      <c r="AZ11" s="3">
        <v>-397</v>
      </c>
      <c r="BA11" s="3">
        <v>-27</v>
      </c>
      <c r="BB11" s="3">
        <v>-29</v>
      </c>
      <c r="BC11" s="3">
        <v>511</v>
      </c>
      <c r="BD11" s="3">
        <v>3370</v>
      </c>
      <c r="BE11" s="3">
        <v>1194</v>
      </c>
      <c r="BF11" s="3">
        <v>1898</v>
      </c>
      <c r="BG11" s="3">
        <v>2415</v>
      </c>
      <c r="BH11" s="3">
        <v>3616</v>
      </c>
      <c r="BI11" s="3">
        <v>2748</v>
      </c>
      <c r="BJ11" s="3">
        <v>0</v>
      </c>
      <c r="BK11" s="3">
        <v>305.53766000000002</v>
      </c>
      <c r="BL11" s="3">
        <v>1009</v>
      </c>
      <c r="BM11" s="3">
        <v>9.3673069999999997E-2</v>
      </c>
      <c r="BN11" s="3">
        <v>0.37753935999999999</v>
      </c>
      <c r="BO11" s="3">
        <v>0.97787287000000001</v>
      </c>
      <c r="BP11" s="3">
        <v>0.77566287</v>
      </c>
      <c r="BQ11" s="3">
        <v>519.53791100000001</v>
      </c>
      <c r="BR11" s="3">
        <v>834.26916000000006</v>
      </c>
      <c r="BS11" s="3">
        <v>1721.1985500000001</v>
      </c>
      <c r="BT11" s="3">
        <v>323.47400599999997</v>
      </c>
      <c r="BU11" s="3">
        <v>485.62856299999999</v>
      </c>
      <c r="BW11" s="3">
        <v>59.063750300000002</v>
      </c>
      <c r="BX11" s="3" t="s">
        <v>368</v>
      </c>
      <c r="BY11" s="3">
        <v>13.7274305555556</v>
      </c>
      <c r="BZ11" s="3">
        <v>373.78922999999998</v>
      </c>
      <c r="CA11">
        <v>55.327204881595151</v>
      </c>
    </row>
    <row r="12" spans="1:79" x14ac:dyDescent="0.25">
      <c r="A12" s="3" t="s">
        <v>140</v>
      </c>
      <c r="B12" s="4">
        <v>691887</v>
      </c>
      <c r="C12" s="4">
        <v>6382992</v>
      </c>
      <c r="D12" s="3" t="s">
        <v>2</v>
      </c>
      <c r="E12" s="3" t="s">
        <v>77</v>
      </c>
      <c r="G12" s="3" t="s">
        <v>144</v>
      </c>
      <c r="H12" s="3" t="s">
        <v>81</v>
      </c>
      <c r="I12" s="3" t="s">
        <v>81</v>
      </c>
      <c r="J12" s="3" t="s">
        <v>81</v>
      </c>
      <c r="K12" s="3" t="s">
        <v>80</v>
      </c>
      <c r="L12" s="3" t="s">
        <v>80</v>
      </c>
      <c r="M12" s="3" t="s">
        <v>80</v>
      </c>
      <c r="N12" s="3" t="s">
        <v>80</v>
      </c>
      <c r="O12" s="7" t="s">
        <v>80</v>
      </c>
      <c r="P12" s="3" t="s">
        <v>299</v>
      </c>
      <c r="Q12">
        <v>0.52851000000000004</v>
      </c>
      <c r="R12" s="3">
        <v>1.44645</v>
      </c>
      <c r="S12" s="3">
        <v>4.9791400000000001</v>
      </c>
      <c r="T12" s="3">
        <v>54</v>
      </c>
      <c r="U12" s="3">
        <v>107</v>
      </c>
      <c r="V12" s="3">
        <v>112</v>
      </c>
      <c r="W12" s="3">
        <v>91</v>
      </c>
      <c r="X12" s="3">
        <v>115</v>
      </c>
      <c r="Y12" s="3">
        <v>105</v>
      </c>
      <c r="Z12" s="3">
        <v>6</v>
      </c>
      <c r="AA12" s="3">
        <v>48</v>
      </c>
      <c r="AB12" s="3">
        <v>50</v>
      </c>
      <c r="AC12" s="3">
        <v>30</v>
      </c>
      <c r="AD12" s="3">
        <v>55</v>
      </c>
      <c r="AE12" s="3">
        <v>51</v>
      </c>
      <c r="AF12" s="3">
        <v>97</v>
      </c>
      <c r="AG12" s="3">
        <v>165</v>
      </c>
      <c r="AH12" s="3">
        <v>172</v>
      </c>
      <c r="AI12" s="3">
        <v>152</v>
      </c>
      <c r="AJ12" s="3">
        <v>174</v>
      </c>
      <c r="AK12" s="3">
        <v>157</v>
      </c>
      <c r="AL12" s="3">
        <v>507</v>
      </c>
      <c r="AM12" s="3">
        <v>507</v>
      </c>
      <c r="AN12" s="3">
        <v>245</v>
      </c>
      <c r="AO12" s="3">
        <v>257</v>
      </c>
      <c r="AP12" s="3">
        <v>370</v>
      </c>
      <c r="AQ12" s="3">
        <v>507</v>
      </c>
      <c r="AR12" s="3">
        <v>254</v>
      </c>
      <c r="AS12" s="3">
        <v>881</v>
      </c>
      <c r="AT12" s="3">
        <v>897</v>
      </c>
      <c r="AU12" s="3">
        <v>800</v>
      </c>
      <c r="AV12" s="3">
        <v>932</v>
      </c>
      <c r="AW12" s="3">
        <v>817</v>
      </c>
      <c r="AX12" s="3">
        <v>669</v>
      </c>
      <c r="AY12" s="3">
        <v>299</v>
      </c>
      <c r="AZ12" s="3">
        <v>-501</v>
      </c>
      <c r="BA12" s="3">
        <v>-167</v>
      </c>
      <c r="BB12" s="3">
        <v>-135</v>
      </c>
      <c r="BC12" s="3">
        <v>353</v>
      </c>
      <c r="BD12" s="3">
        <v>3556</v>
      </c>
      <c r="BE12" s="3">
        <v>1179</v>
      </c>
      <c r="BF12" s="3">
        <v>1892</v>
      </c>
      <c r="BG12" s="3">
        <v>2378</v>
      </c>
      <c r="BH12" s="3">
        <v>3497</v>
      </c>
      <c r="BI12" s="3">
        <v>2762</v>
      </c>
      <c r="BJ12" s="3">
        <v>0</v>
      </c>
      <c r="BK12" s="3">
        <v>280.43747000000002</v>
      </c>
      <c r="BL12" s="3">
        <v>653</v>
      </c>
      <c r="BM12" s="3">
        <v>0.46804551</v>
      </c>
      <c r="BN12" s="3">
        <v>0.68654497999999997</v>
      </c>
      <c r="BO12" s="3">
        <v>0.50844659999999997</v>
      </c>
      <c r="BP12" s="3">
        <v>0.34179743000000001</v>
      </c>
      <c r="BQ12" s="3">
        <v>862.33136300000001</v>
      </c>
      <c r="BR12" s="3">
        <v>67.418449899999999</v>
      </c>
      <c r="BS12" s="3">
        <v>1785.69658</v>
      </c>
      <c r="BT12" s="3">
        <v>232.20590300000001</v>
      </c>
      <c r="BU12" s="3">
        <v>49.877550100000001</v>
      </c>
      <c r="BV12" s="3">
        <v>1163.62409</v>
      </c>
      <c r="BW12" s="3">
        <v>1298.6376600000001</v>
      </c>
      <c r="BX12" s="3" t="s">
        <v>361</v>
      </c>
      <c r="BY12" s="3">
        <v>64.6666666666667</v>
      </c>
      <c r="BZ12" s="3">
        <v>408.006979</v>
      </c>
      <c r="CA12">
        <v>53.021222166223218</v>
      </c>
    </row>
    <row r="13" spans="1:79" x14ac:dyDescent="0.25">
      <c r="A13" s="3" t="s">
        <v>141</v>
      </c>
      <c r="B13" s="4">
        <v>692031.87</v>
      </c>
      <c r="C13" s="4">
        <v>6383293.3600000003</v>
      </c>
      <c r="D13" s="3" t="s">
        <v>2</v>
      </c>
      <c r="E13" s="3" t="s">
        <v>77</v>
      </c>
      <c r="G13" s="3" t="s">
        <v>3</v>
      </c>
      <c r="H13" s="3" t="s">
        <v>80</v>
      </c>
      <c r="I13" s="3" t="s">
        <v>80</v>
      </c>
      <c r="J13" s="3" t="s">
        <v>80</v>
      </c>
      <c r="K13" s="3" t="s">
        <v>81</v>
      </c>
      <c r="L13" s="3" t="s">
        <v>81</v>
      </c>
      <c r="M13" s="3" t="s">
        <v>81</v>
      </c>
      <c r="N13" s="3" t="s">
        <v>80</v>
      </c>
      <c r="O13" s="7" t="s">
        <v>80</v>
      </c>
      <c r="Q13">
        <v>0.52851000000000004</v>
      </c>
      <c r="R13" s="3">
        <v>1.44645</v>
      </c>
      <c r="S13" s="3">
        <v>4.9791400000000001</v>
      </c>
      <c r="T13" s="3">
        <v>54</v>
      </c>
      <c r="U13" s="3">
        <v>107</v>
      </c>
      <c r="V13" s="3">
        <v>112</v>
      </c>
      <c r="W13" s="3">
        <v>91</v>
      </c>
      <c r="X13" s="3">
        <v>115</v>
      </c>
      <c r="Y13" s="3">
        <v>105</v>
      </c>
      <c r="Z13" s="3">
        <v>6</v>
      </c>
      <c r="AA13" s="3">
        <v>48</v>
      </c>
      <c r="AB13" s="3">
        <v>50</v>
      </c>
      <c r="AC13" s="3">
        <v>30</v>
      </c>
      <c r="AD13" s="3">
        <v>55</v>
      </c>
      <c r="AE13" s="3">
        <v>51</v>
      </c>
      <c r="AF13" s="3">
        <v>97</v>
      </c>
      <c r="AG13" s="3">
        <v>165</v>
      </c>
      <c r="AH13" s="3">
        <v>172</v>
      </c>
      <c r="AI13" s="3">
        <v>152</v>
      </c>
      <c r="AJ13" s="3">
        <v>174</v>
      </c>
      <c r="AK13" s="3">
        <v>157</v>
      </c>
      <c r="AL13" s="3">
        <v>507</v>
      </c>
      <c r="AM13" s="3">
        <v>507</v>
      </c>
      <c r="AN13" s="3">
        <v>245</v>
      </c>
      <c r="AO13" s="3">
        <v>257</v>
      </c>
      <c r="AP13" s="3">
        <v>370</v>
      </c>
      <c r="AQ13" s="3">
        <v>507</v>
      </c>
      <c r="AR13" s="3">
        <v>254</v>
      </c>
      <c r="AS13" s="3">
        <v>881</v>
      </c>
      <c r="AT13" s="3">
        <v>897</v>
      </c>
      <c r="AU13" s="3">
        <v>800</v>
      </c>
      <c r="AV13" s="3">
        <v>932</v>
      </c>
      <c r="AW13" s="3">
        <v>817</v>
      </c>
      <c r="AX13" s="3">
        <v>669</v>
      </c>
      <c r="AY13" s="3">
        <v>299</v>
      </c>
      <c r="AZ13" s="3">
        <v>-501</v>
      </c>
      <c r="BA13" s="3">
        <v>-167</v>
      </c>
      <c r="BB13" s="3">
        <v>-135</v>
      </c>
      <c r="BC13" s="3">
        <v>353</v>
      </c>
      <c r="BD13" s="3">
        <v>3524</v>
      </c>
      <c r="BE13" s="3">
        <v>1183</v>
      </c>
      <c r="BF13" s="3">
        <v>1894</v>
      </c>
      <c r="BG13" s="3">
        <v>2386</v>
      </c>
      <c r="BH13" s="3">
        <v>3514</v>
      </c>
      <c r="BI13" s="3">
        <v>2763</v>
      </c>
      <c r="BJ13" s="3">
        <v>0</v>
      </c>
      <c r="BK13" s="3">
        <v>265.42608999999999</v>
      </c>
      <c r="BL13" s="3">
        <v>720</v>
      </c>
      <c r="BM13" s="3">
        <v>0.37263220000000002</v>
      </c>
      <c r="BN13" s="3">
        <v>0.52320268000000003</v>
      </c>
      <c r="BO13" s="3">
        <v>0.67106485000000005</v>
      </c>
      <c r="BP13" s="3">
        <v>0.48809489</v>
      </c>
      <c r="BQ13" s="3">
        <v>1188.4978799999999</v>
      </c>
      <c r="BR13" s="3">
        <v>238.516998</v>
      </c>
      <c r="BS13" s="3">
        <v>1634.9873600000001</v>
      </c>
      <c r="BT13" s="3">
        <v>317.00380799999999</v>
      </c>
      <c r="BU13" s="3">
        <v>240.31618900000001</v>
      </c>
      <c r="BV13" s="3">
        <v>63.071750000000002</v>
      </c>
      <c r="BW13" s="3">
        <v>1298.6376600000001</v>
      </c>
      <c r="BX13" s="3" t="s">
        <v>369</v>
      </c>
      <c r="BY13" s="3">
        <v>44.6666666666667</v>
      </c>
      <c r="BZ13" s="3">
        <v>142.557153</v>
      </c>
      <c r="CA13">
        <v>45.129773985549548</v>
      </c>
    </row>
    <row r="14" spans="1:79" x14ac:dyDescent="0.25">
      <c r="A14" s="3" t="s">
        <v>142</v>
      </c>
      <c r="B14" s="4">
        <v>692211.78</v>
      </c>
      <c r="C14" s="4">
        <v>6383406.9369999999</v>
      </c>
      <c r="D14" s="3" t="s">
        <v>2</v>
      </c>
      <c r="E14" s="3" t="s">
        <v>77</v>
      </c>
      <c r="G14" s="3" t="s">
        <v>3</v>
      </c>
      <c r="H14" s="3" t="s">
        <v>80</v>
      </c>
      <c r="I14" s="3" t="s">
        <v>80</v>
      </c>
      <c r="J14" s="3" t="s">
        <v>80</v>
      </c>
      <c r="K14" s="3" t="s">
        <v>80</v>
      </c>
      <c r="L14" s="3" t="s">
        <v>80</v>
      </c>
      <c r="M14" s="3" t="s">
        <v>80</v>
      </c>
      <c r="N14" s="3" t="s">
        <v>81</v>
      </c>
      <c r="O14" s="7" t="s">
        <v>80</v>
      </c>
      <c r="Q14">
        <v>0.52851000000000004</v>
      </c>
      <c r="R14" s="3">
        <v>1.44645</v>
      </c>
      <c r="S14" s="3">
        <v>4.9791400000000001</v>
      </c>
      <c r="T14" s="3">
        <v>49</v>
      </c>
      <c r="U14" s="3">
        <v>99</v>
      </c>
      <c r="V14" s="3">
        <v>104</v>
      </c>
      <c r="W14" s="3">
        <v>82</v>
      </c>
      <c r="X14" s="3">
        <v>106</v>
      </c>
      <c r="Y14" s="3">
        <v>95</v>
      </c>
      <c r="Z14" s="3">
        <v>9</v>
      </c>
      <c r="AA14" s="3">
        <v>49</v>
      </c>
      <c r="AB14" s="3">
        <v>52</v>
      </c>
      <c r="AC14" s="3">
        <v>31</v>
      </c>
      <c r="AD14" s="3">
        <v>55</v>
      </c>
      <c r="AE14" s="3">
        <v>50</v>
      </c>
      <c r="AF14" s="3">
        <v>88</v>
      </c>
      <c r="AG14" s="3">
        <v>151</v>
      </c>
      <c r="AH14" s="3">
        <v>158</v>
      </c>
      <c r="AI14" s="3">
        <v>137</v>
      </c>
      <c r="AJ14" s="3">
        <v>161</v>
      </c>
      <c r="AK14" s="3">
        <v>144</v>
      </c>
      <c r="AL14" s="3">
        <v>551</v>
      </c>
      <c r="AM14" s="3">
        <v>551</v>
      </c>
      <c r="AN14" s="3">
        <v>307</v>
      </c>
      <c r="AO14" s="3">
        <v>340</v>
      </c>
      <c r="AP14" s="3">
        <v>427</v>
      </c>
      <c r="AQ14" s="3">
        <v>551</v>
      </c>
      <c r="AR14" s="3">
        <v>233</v>
      </c>
      <c r="AS14" s="3">
        <v>837</v>
      </c>
      <c r="AT14" s="3">
        <v>859</v>
      </c>
      <c r="AU14" s="3">
        <v>746</v>
      </c>
      <c r="AV14" s="3">
        <v>890</v>
      </c>
      <c r="AW14" s="3">
        <v>770</v>
      </c>
      <c r="AX14" s="3">
        <v>683</v>
      </c>
      <c r="AY14" s="3">
        <v>340</v>
      </c>
      <c r="AZ14" s="3">
        <v>-468</v>
      </c>
      <c r="BA14" s="3">
        <v>-117</v>
      </c>
      <c r="BB14" s="3">
        <v>-100</v>
      </c>
      <c r="BC14" s="3">
        <v>395</v>
      </c>
      <c r="BD14" s="3">
        <v>3524</v>
      </c>
      <c r="BE14" s="3">
        <v>1183</v>
      </c>
      <c r="BF14" s="3">
        <v>1894</v>
      </c>
      <c r="BG14" s="3">
        <v>2386</v>
      </c>
      <c r="BH14" s="3">
        <v>3514</v>
      </c>
      <c r="BI14" s="3">
        <v>2763</v>
      </c>
      <c r="BJ14" s="3">
        <v>0</v>
      </c>
      <c r="BK14" s="3">
        <v>294.44396999999998</v>
      </c>
      <c r="BL14" s="3">
        <v>750</v>
      </c>
      <c r="BM14" s="3">
        <v>0.29659961000000001</v>
      </c>
      <c r="BN14" s="3">
        <v>0.47779517999999999</v>
      </c>
      <c r="BO14" s="3">
        <v>0.72694833000000003</v>
      </c>
      <c r="BP14" s="3">
        <v>0.52380501999999995</v>
      </c>
      <c r="BQ14" s="3">
        <v>1388.9256800000001</v>
      </c>
      <c r="BR14" s="3">
        <v>419.456885</v>
      </c>
      <c r="BS14" s="3">
        <v>1686.4024199999999</v>
      </c>
      <c r="BT14" s="3">
        <v>356.919376</v>
      </c>
      <c r="BU14" s="3">
        <v>406.95785599999999</v>
      </c>
      <c r="BW14" s="3">
        <v>785.48353899999995</v>
      </c>
      <c r="BX14" s="3" t="s">
        <v>369</v>
      </c>
      <c r="BY14" s="3">
        <v>44.6666666666667</v>
      </c>
      <c r="BZ14" s="3">
        <v>130.782861</v>
      </c>
      <c r="CA14">
        <v>60.716825558162967</v>
      </c>
    </row>
    <row r="15" spans="1:79" x14ac:dyDescent="0.25">
      <c r="A15" s="3" t="s">
        <v>169</v>
      </c>
      <c r="B15" s="4">
        <v>691809.39</v>
      </c>
      <c r="C15" s="4">
        <v>6379835.8499999996</v>
      </c>
      <c r="D15" s="3" t="s">
        <v>370</v>
      </c>
      <c r="E15" s="3" t="s">
        <v>77</v>
      </c>
      <c r="G15" s="3" t="s">
        <v>138</v>
      </c>
      <c r="H15" s="3" t="s">
        <v>80</v>
      </c>
      <c r="I15" s="3" t="s">
        <v>80</v>
      </c>
      <c r="J15" s="3" t="s">
        <v>80</v>
      </c>
      <c r="K15" s="3" t="s">
        <v>81</v>
      </c>
      <c r="L15" s="3" t="s">
        <v>81</v>
      </c>
      <c r="M15" s="6" t="s">
        <v>80</v>
      </c>
      <c r="N15" s="3" t="s">
        <v>81</v>
      </c>
      <c r="O15" s="7" t="s">
        <v>81</v>
      </c>
      <c r="Q15">
        <v>0.52851000000000004</v>
      </c>
      <c r="R15" s="3">
        <v>1.44645</v>
      </c>
      <c r="S15" s="3">
        <v>4.9791400000000001</v>
      </c>
      <c r="T15" s="3">
        <v>50</v>
      </c>
      <c r="U15" s="3">
        <v>101</v>
      </c>
      <c r="V15" s="3">
        <v>106</v>
      </c>
      <c r="W15" s="3">
        <v>85</v>
      </c>
      <c r="X15" s="3">
        <v>109</v>
      </c>
      <c r="Y15" s="3">
        <v>98</v>
      </c>
      <c r="Z15" s="3">
        <v>22</v>
      </c>
      <c r="AA15" s="3">
        <v>60</v>
      </c>
      <c r="AB15" s="3">
        <v>66</v>
      </c>
      <c r="AC15" s="3">
        <v>44</v>
      </c>
      <c r="AD15" s="3">
        <v>68</v>
      </c>
      <c r="AE15" s="3">
        <v>59</v>
      </c>
      <c r="AF15" s="3">
        <v>83</v>
      </c>
      <c r="AG15" s="3">
        <v>147</v>
      </c>
      <c r="AH15" s="3">
        <v>154</v>
      </c>
      <c r="AI15" s="3">
        <v>132</v>
      </c>
      <c r="AJ15" s="3">
        <v>154</v>
      </c>
      <c r="AK15" s="3">
        <v>139</v>
      </c>
      <c r="AL15" s="3">
        <v>467</v>
      </c>
      <c r="AM15" s="3">
        <v>467</v>
      </c>
      <c r="AN15" s="3">
        <v>245</v>
      </c>
      <c r="AO15" s="3">
        <v>260</v>
      </c>
      <c r="AP15" s="3">
        <v>338</v>
      </c>
      <c r="AQ15" s="3">
        <v>467</v>
      </c>
      <c r="AR15" s="3">
        <v>238</v>
      </c>
      <c r="AS15" s="3">
        <v>849</v>
      </c>
      <c r="AT15" s="3">
        <v>871</v>
      </c>
      <c r="AU15" s="3">
        <v>764</v>
      </c>
      <c r="AV15" s="3">
        <v>907</v>
      </c>
      <c r="AW15" s="3">
        <v>783</v>
      </c>
      <c r="AX15" s="3">
        <v>682</v>
      </c>
      <c r="AY15" s="3">
        <v>361</v>
      </c>
      <c r="AZ15" s="3">
        <v>-478</v>
      </c>
      <c r="BA15" s="3">
        <v>-133</v>
      </c>
      <c r="BB15" s="3">
        <v>-120</v>
      </c>
      <c r="BC15" s="3">
        <v>371</v>
      </c>
      <c r="BD15" s="3">
        <v>3654</v>
      </c>
      <c r="BE15" s="3">
        <v>1169</v>
      </c>
      <c r="BF15" s="3">
        <v>1887</v>
      </c>
      <c r="BG15" s="3">
        <v>2344</v>
      </c>
      <c r="BH15" s="3">
        <v>3452</v>
      </c>
      <c r="BI15" s="3">
        <v>2754</v>
      </c>
      <c r="BJ15" s="3">
        <v>0</v>
      </c>
      <c r="BK15" s="3">
        <v>108.43495</v>
      </c>
      <c r="BL15" s="3">
        <v>741</v>
      </c>
      <c r="BM15" s="3">
        <v>0.18860183</v>
      </c>
      <c r="BN15" s="3">
        <v>0.23422229</v>
      </c>
      <c r="BO15" s="3">
        <v>0.78473634999999997</v>
      </c>
      <c r="BP15" s="3">
        <v>0.76651095000000002</v>
      </c>
      <c r="BQ15" s="3">
        <v>675.87447699999996</v>
      </c>
      <c r="BR15" s="3">
        <v>489.38888700000001</v>
      </c>
      <c r="BS15" s="3">
        <v>4119.5121399999998</v>
      </c>
      <c r="BT15" s="3">
        <v>239.39089300000001</v>
      </c>
      <c r="BU15" s="3">
        <v>506.44396999999998</v>
      </c>
      <c r="BX15" s="3" t="s">
        <v>371</v>
      </c>
      <c r="BY15" s="3">
        <v>0.94727272727272704</v>
      </c>
      <c r="BZ15" s="3">
        <v>1096.3560199999999</v>
      </c>
      <c r="CA15">
        <v>33.914813872222197</v>
      </c>
    </row>
    <row r="16" spans="1:79" x14ac:dyDescent="0.25">
      <c r="A16" s="3" t="s">
        <v>372</v>
      </c>
      <c r="B16" s="4">
        <v>693449.65</v>
      </c>
      <c r="C16" s="4">
        <v>6388339.8099999996</v>
      </c>
      <c r="D16" s="3" t="s">
        <v>129</v>
      </c>
      <c r="E16" s="3" t="s">
        <v>27</v>
      </c>
      <c r="F16" s="3" t="s">
        <v>30</v>
      </c>
      <c r="G16" s="3" t="s">
        <v>29</v>
      </c>
      <c r="H16" s="3" t="s">
        <v>81</v>
      </c>
      <c r="I16" s="3" t="s">
        <v>81</v>
      </c>
      <c r="J16" s="3" t="s">
        <v>81</v>
      </c>
      <c r="K16" s="3" t="s">
        <v>81</v>
      </c>
      <c r="L16" s="3" t="s">
        <v>81</v>
      </c>
      <c r="M16" s="3" t="s">
        <v>81</v>
      </c>
      <c r="N16" s="3" t="s">
        <v>81</v>
      </c>
      <c r="O16" s="7" t="s">
        <v>81</v>
      </c>
      <c r="Q16">
        <v>0.12987000000000001</v>
      </c>
      <c r="R16" s="3">
        <v>1</v>
      </c>
      <c r="S16" s="3">
        <v>3.3376600000000001</v>
      </c>
      <c r="T16" s="3">
        <v>45</v>
      </c>
      <c r="U16" s="3">
        <v>92</v>
      </c>
      <c r="V16" s="3">
        <v>99</v>
      </c>
      <c r="W16" s="3">
        <v>77</v>
      </c>
      <c r="X16" s="3">
        <v>104</v>
      </c>
      <c r="Y16" s="3">
        <v>90</v>
      </c>
      <c r="Z16" s="3">
        <v>-3</v>
      </c>
      <c r="AA16" s="3">
        <v>35</v>
      </c>
      <c r="AB16" s="3">
        <v>37</v>
      </c>
      <c r="AC16" s="3">
        <v>15</v>
      </c>
      <c r="AD16" s="3">
        <v>39</v>
      </c>
      <c r="AE16" s="3">
        <v>37</v>
      </c>
      <c r="AF16" s="3">
        <v>85</v>
      </c>
      <c r="AG16" s="3">
        <v>143</v>
      </c>
      <c r="AH16" s="3">
        <v>152</v>
      </c>
      <c r="AI16" s="3">
        <v>130</v>
      </c>
      <c r="AJ16" s="3">
        <v>158</v>
      </c>
      <c r="AK16" s="3">
        <v>136</v>
      </c>
      <c r="AL16" s="3">
        <v>733</v>
      </c>
      <c r="AM16" s="3">
        <v>733</v>
      </c>
      <c r="AN16" s="3">
        <v>454</v>
      </c>
      <c r="AO16" s="3">
        <v>517</v>
      </c>
      <c r="AP16" s="3">
        <v>608</v>
      </c>
      <c r="AQ16" s="3">
        <v>733</v>
      </c>
      <c r="AR16" s="3">
        <v>221</v>
      </c>
      <c r="AS16" s="3">
        <v>814</v>
      </c>
      <c r="AT16" s="3">
        <v>845</v>
      </c>
      <c r="AU16" s="3">
        <v>730</v>
      </c>
      <c r="AV16" s="3">
        <v>883</v>
      </c>
      <c r="AW16" s="3">
        <v>748</v>
      </c>
      <c r="AX16" s="3">
        <v>691</v>
      </c>
      <c r="AY16" s="3">
        <v>316</v>
      </c>
      <c r="AZ16" s="3">
        <v>-450</v>
      </c>
      <c r="BA16" s="3">
        <v>-100</v>
      </c>
      <c r="BB16" s="3">
        <v>-86</v>
      </c>
      <c r="BC16" s="3">
        <v>445</v>
      </c>
      <c r="BD16" s="3">
        <v>3391</v>
      </c>
      <c r="BE16" s="3">
        <v>1191</v>
      </c>
      <c r="BF16" s="3">
        <v>1895</v>
      </c>
      <c r="BG16" s="3">
        <v>2406</v>
      </c>
      <c r="BH16" s="3">
        <v>3599</v>
      </c>
      <c r="BI16" s="3">
        <v>2749</v>
      </c>
      <c r="BJ16" s="3">
        <v>0</v>
      </c>
      <c r="BK16" s="3">
        <v>151.38954000000001</v>
      </c>
      <c r="BL16" s="3">
        <v>923</v>
      </c>
      <c r="BM16" s="3">
        <v>0.1178255</v>
      </c>
      <c r="BN16" s="3">
        <v>0.27084032000000002</v>
      </c>
      <c r="BO16" s="3">
        <v>0.82911787000000003</v>
      </c>
      <c r="BP16" s="3">
        <v>0.71473169999999997</v>
      </c>
      <c r="BQ16" s="3">
        <v>362.05145800000003</v>
      </c>
      <c r="BR16" s="3">
        <v>405.27661999999998</v>
      </c>
      <c r="BS16" s="3">
        <v>477.89236299999999</v>
      </c>
      <c r="BT16" s="3">
        <v>569.04422899999997</v>
      </c>
      <c r="BU16" s="3">
        <v>184.11239699999999</v>
      </c>
      <c r="BV16" s="3">
        <v>1735.0301300000001</v>
      </c>
      <c r="BW16" s="3">
        <v>9213.68462</v>
      </c>
      <c r="BX16" s="3" t="s">
        <v>373</v>
      </c>
      <c r="BY16" s="3">
        <v>31.6071428571429</v>
      </c>
      <c r="BZ16" s="3">
        <v>389.85085700000002</v>
      </c>
      <c r="CA16">
        <v>53.823253339203767</v>
      </c>
    </row>
    <row r="17" spans="1:79" x14ac:dyDescent="0.25">
      <c r="A17" s="3" t="s">
        <v>176</v>
      </c>
      <c r="B17" s="4">
        <v>696269.64</v>
      </c>
      <c r="C17" s="4">
        <v>6388281.9500000002</v>
      </c>
      <c r="D17" s="3" t="s">
        <v>6</v>
      </c>
      <c r="E17" s="3" t="s">
        <v>27</v>
      </c>
      <c r="F17" s="3" t="s">
        <v>32</v>
      </c>
      <c r="G17" s="3" t="s">
        <v>31</v>
      </c>
      <c r="H17" s="3" t="s">
        <v>81</v>
      </c>
      <c r="I17" s="3" t="s">
        <v>81</v>
      </c>
      <c r="J17" s="3" t="s">
        <v>81</v>
      </c>
      <c r="K17" s="3" t="s">
        <v>81</v>
      </c>
      <c r="L17" s="3" t="s">
        <v>81</v>
      </c>
      <c r="M17" s="3" t="s">
        <v>81</v>
      </c>
      <c r="N17" s="3" t="s">
        <v>81</v>
      </c>
      <c r="O17" s="7" t="s">
        <v>81</v>
      </c>
      <c r="P17" s="3" t="s">
        <v>219</v>
      </c>
      <c r="Q17">
        <v>0.12987000000000001</v>
      </c>
      <c r="R17" s="3">
        <v>1</v>
      </c>
      <c r="S17" s="3">
        <v>3.3376600000000001</v>
      </c>
      <c r="T17" s="3">
        <v>32</v>
      </c>
      <c r="U17" s="3">
        <v>77</v>
      </c>
      <c r="V17" s="3">
        <v>84</v>
      </c>
      <c r="W17" s="3">
        <v>61</v>
      </c>
      <c r="X17" s="3">
        <v>87</v>
      </c>
      <c r="Y17" s="3">
        <v>73</v>
      </c>
      <c r="Z17" s="3">
        <v>0</v>
      </c>
      <c r="AA17" s="3">
        <v>33</v>
      </c>
      <c r="AB17" s="3">
        <v>36</v>
      </c>
      <c r="AC17" s="3">
        <v>20</v>
      </c>
      <c r="AD17" s="3">
        <v>42</v>
      </c>
      <c r="AE17" s="3">
        <v>32</v>
      </c>
      <c r="AF17" s="3">
        <v>72</v>
      </c>
      <c r="AG17" s="3">
        <v>125</v>
      </c>
      <c r="AH17" s="3">
        <v>134</v>
      </c>
      <c r="AI17" s="3">
        <v>112</v>
      </c>
      <c r="AJ17" s="3">
        <v>141</v>
      </c>
      <c r="AK17" s="3">
        <v>117</v>
      </c>
      <c r="AL17" s="3">
        <v>510</v>
      </c>
      <c r="AM17" s="3">
        <v>510</v>
      </c>
      <c r="AN17" s="3">
        <v>353</v>
      </c>
      <c r="AO17" s="3">
        <v>440</v>
      </c>
      <c r="AP17" s="3">
        <v>418</v>
      </c>
      <c r="AQ17" s="3">
        <v>510</v>
      </c>
      <c r="AR17" s="3">
        <v>162</v>
      </c>
      <c r="AS17" s="3">
        <v>710</v>
      </c>
      <c r="AT17" s="3">
        <v>747</v>
      </c>
      <c r="AU17" s="3">
        <v>605</v>
      </c>
      <c r="AV17" s="3">
        <v>771</v>
      </c>
      <c r="AW17" s="3">
        <v>641</v>
      </c>
      <c r="AX17" s="3">
        <v>730</v>
      </c>
      <c r="AY17" s="3">
        <v>396</v>
      </c>
      <c r="AZ17" s="3">
        <v>-366</v>
      </c>
      <c r="BA17" s="3">
        <v>14</v>
      </c>
      <c r="BB17" s="3">
        <v>10</v>
      </c>
      <c r="BC17" s="3">
        <v>539</v>
      </c>
      <c r="BD17" s="3">
        <v>3323</v>
      </c>
      <c r="BE17" s="3">
        <v>1151</v>
      </c>
      <c r="BF17" s="3">
        <v>1865</v>
      </c>
      <c r="BG17" s="3">
        <v>2358</v>
      </c>
      <c r="BH17" s="3">
        <v>3558</v>
      </c>
      <c r="BI17" s="3">
        <v>2688</v>
      </c>
      <c r="BJ17" s="3">
        <v>0</v>
      </c>
      <c r="BK17" s="3">
        <v>340.20111000000003</v>
      </c>
      <c r="BL17" s="3">
        <v>1044</v>
      </c>
      <c r="BM17" s="3">
        <v>0.50316346000000001</v>
      </c>
      <c r="BN17" s="3">
        <v>0.77775203999999998</v>
      </c>
      <c r="BO17" s="3">
        <v>0.51443764000000003</v>
      </c>
      <c r="BP17" s="3">
        <v>0.24031337</v>
      </c>
      <c r="BQ17" s="3">
        <v>370.691304</v>
      </c>
      <c r="BR17" s="3">
        <v>138.87733499999999</v>
      </c>
      <c r="BS17" s="3">
        <v>743.18437400000005</v>
      </c>
      <c r="BT17" s="3">
        <v>319.64473400000003</v>
      </c>
      <c r="BU17" s="3">
        <v>222.57806299999999</v>
      </c>
      <c r="BV17" s="3">
        <v>561.39415799999995</v>
      </c>
      <c r="BW17" s="3">
        <v>646.19124899999997</v>
      </c>
      <c r="BX17" s="3" t="s">
        <v>374</v>
      </c>
      <c r="BY17" s="3">
        <v>6.765625</v>
      </c>
      <c r="BZ17" s="3">
        <v>273.40554900000001</v>
      </c>
      <c r="CA17">
        <v>51.611550063594287</v>
      </c>
    </row>
    <row r="18" spans="1:79" x14ac:dyDescent="0.25">
      <c r="A18" s="3" t="s">
        <v>178</v>
      </c>
      <c r="B18" s="4">
        <v>697826.36399999994</v>
      </c>
      <c r="C18" s="4">
        <v>6388994.6140000001</v>
      </c>
      <c r="D18" s="3" t="s">
        <v>6</v>
      </c>
      <c r="E18" s="3" t="s">
        <v>27</v>
      </c>
      <c r="F18" t="s">
        <v>32</v>
      </c>
      <c r="G18" t="s">
        <v>33</v>
      </c>
      <c r="H18" s="3" t="s">
        <v>81</v>
      </c>
      <c r="I18" s="3" t="s">
        <v>81</v>
      </c>
      <c r="J18" s="3" t="s">
        <v>81</v>
      </c>
      <c r="K18" s="3" t="s">
        <v>81</v>
      </c>
      <c r="L18" s="3" t="s">
        <v>81</v>
      </c>
      <c r="M18" s="3" t="s">
        <v>81</v>
      </c>
      <c r="N18" s="3" t="s">
        <v>81</v>
      </c>
      <c r="O18" s="7" t="s">
        <v>81</v>
      </c>
      <c r="P18" s="3" t="s">
        <v>220</v>
      </c>
      <c r="Q18">
        <v>0.12987000000000001</v>
      </c>
      <c r="R18" s="3">
        <v>1</v>
      </c>
      <c r="S18" s="3">
        <v>3.3376600000000001</v>
      </c>
      <c r="T18" s="3">
        <v>33</v>
      </c>
      <c r="U18" s="3">
        <v>77</v>
      </c>
      <c r="V18" s="3">
        <v>84</v>
      </c>
      <c r="W18" s="3">
        <v>61</v>
      </c>
      <c r="X18" s="3">
        <v>88</v>
      </c>
      <c r="Y18" s="3">
        <v>74</v>
      </c>
      <c r="Z18" s="3">
        <v>-6</v>
      </c>
      <c r="AA18" s="3">
        <v>28</v>
      </c>
      <c r="AB18" s="3">
        <v>31</v>
      </c>
      <c r="AC18" s="3">
        <v>13</v>
      </c>
      <c r="AD18" s="3">
        <v>36</v>
      </c>
      <c r="AE18" s="3">
        <v>28</v>
      </c>
      <c r="AF18" s="3">
        <v>73</v>
      </c>
      <c r="AG18" s="3">
        <v>125</v>
      </c>
      <c r="AH18" s="3">
        <v>134</v>
      </c>
      <c r="AI18" s="3">
        <v>112</v>
      </c>
      <c r="AJ18" s="3">
        <v>141</v>
      </c>
      <c r="AK18" s="3">
        <v>118</v>
      </c>
      <c r="AL18" s="3">
        <v>483</v>
      </c>
      <c r="AM18" s="3">
        <v>483</v>
      </c>
      <c r="AN18" s="3">
        <v>327</v>
      </c>
      <c r="AO18" s="3">
        <v>408</v>
      </c>
      <c r="AP18" s="3">
        <v>391</v>
      </c>
      <c r="AQ18" s="3">
        <v>483</v>
      </c>
      <c r="AR18" s="3">
        <v>164</v>
      </c>
      <c r="AS18" s="3">
        <v>708</v>
      </c>
      <c r="AT18" s="3">
        <v>748</v>
      </c>
      <c r="AU18" s="3">
        <v>608</v>
      </c>
      <c r="AV18" s="3">
        <v>779</v>
      </c>
      <c r="AW18" s="3">
        <v>644</v>
      </c>
      <c r="AX18" s="3">
        <v>719</v>
      </c>
      <c r="AY18" s="3">
        <v>380</v>
      </c>
      <c r="AZ18" s="3">
        <v>-369</v>
      </c>
      <c r="BA18" s="3">
        <v>9</v>
      </c>
      <c r="BB18" s="3">
        <v>-1</v>
      </c>
      <c r="BC18" s="3">
        <v>538</v>
      </c>
      <c r="BD18" s="3">
        <v>3265</v>
      </c>
      <c r="BE18" s="3">
        <v>1129</v>
      </c>
      <c r="BF18" s="3">
        <v>1848</v>
      </c>
      <c r="BG18" s="3">
        <v>2325</v>
      </c>
      <c r="BH18" s="3">
        <v>3537</v>
      </c>
      <c r="BI18" s="3">
        <v>2647</v>
      </c>
      <c r="BJ18" s="3">
        <v>0</v>
      </c>
      <c r="BK18" s="3">
        <v>262.5686</v>
      </c>
      <c r="BL18" s="3">
        <v>1113</v>
      </c>
      <c r="BM18" s="3">
        <v>0.82819951000000003</v>
      </c>
      <c r="BN18" s="3">
        <v>0.69091398000000004</v>
      </c>
      <c r="BO18" s="3">
        <v>0.28710848</v>
      </c>
      <c r="BP18" s="3">
        <v>0.41386429000000002</v>
      </c>
      <c r="BQ18" s="3">
        <v>715.27652899999998</v>
      </c>
      <c r="BR18" s="3">
        <v>302.34823299999999</v>
      </c>
      <c r="BS18" s="3">
        <v>1330.6343400000001</v>
      </c>
      <c r="BT18" s="3">
        <v>580.52828099999999</v>
      </c>
      <c r="BU18" s="3">
        <v>248.12909500000001</v>
      </c>
      <c r="BV18" s="3">
        <v>9.7952999999999998E-3</v>
      </c>
      <c r="BW18" s="3">
        <v>2957.8354300000001</v>
      </c>
      <c r="BX18" s="3" t="s">
        <v>375</v>
      </c>
      <c r="BY18" s="3">
        <v>7.67166095890411</v>
      </c>
      <c r="BZ18" s="3">
        <v>180.67</v>
      </c>
      <c r="CA18">
        <v>24.651438650465241</v>
      </c>
    </row>
    <row r="19" spans="1:79" x14ac:dyDescent="0.25">
      <c r="A19" s="3" t="s">
        <v>376</v>
      </c>
      <c r="B19" s="4">
        <v>694815.31</v>
      </c>
      <c r="C19" s="4">
        <v>6384900.0199999996</v>
      </c>
      <c r="D19" s="3" t="s">
        <v>78</v>
      </c>
      <c r="E19" s="3" t="s">
        <v>27</v>
      </c>
      <c r="F19" s="3" t="s">
        <v>35</v>
      </c>
      <c r="G19" s="3" t="s">
        <v>34</v>
      </c>
      <c r="H19" s="3" t="s">
        <v>81</v>
      </c>
      <c r="I19" s="3" t="s">
        <v>81</v>
      </c>
      <c r="J19" s="3" t="s">
        <v>81</v>
      </c>
      <c r="K19" s="3" t="s">
        <v>81</v>
      </c>
      <c r="L19" s="3" t="s">
        <v>81</v>
      </c>
      <c r="M19" s="6" t="s">
        <v>81</v>
      </c>
      <c r="N19" s="6" t="s">
        <v>81</v>
      </c>
      <c r="O19" s="7" t="s">
        <v>81</v>
      </c>
      <c r="P19" s="3" t="s">
        <v>181</v>
      </c>
      <c r="Q19">
        <v>0.12987000000000001</v>
      </c>
      <c r="R19" s="3">
        <v>1</v>
      </c>
      <c r="S19" s="3">
        <v>3.3376600000000001</v>
      </c>
      <c r="T19" s="3">
        <v>39</v>
      </c>
      <c r="U19" s="3">
        <v>86</v>
      </c>
      <c r="V19" s="3">
        <v>92</v>
      </c>
      <c r="W19" s="3">
        <v>69</v>
      </c>
      <c r="X19" s="3">
        <v>94</v>
      </c>
      <c r="Y19" s="3">
        <v>82</v>
      </c>
      <c r="Z19" s="3">
        <v>9</v>
      </c>
      <c r="AA19" s="3">
        <v>45</v>
      </c>
      <c r="AB19" s="3">
        <v>51</v>
      </c>
      <c r="AC19" s="3">
        <v>26</v>
      </c>
      <c r="AD19" s="3">
        <v>50</v>
      </c>
      <c r="AE19" s="3">
        <v>45</v>
      </c>
      <c r="AF19" s="3">
        <v>74</v>
      </c>
      <c r="AG19" s="3">
        <v>130</v>
      </c>
      <c r="AH19" s="3">
        <v>138</v>
      </c>
      <c r="AI19" s="3">
        <v>116</v>
      </c>
      <c r="AJ19" s="3">
        <v>142</v>
      </c>
      <c r="AK19" s="3">
        <v>123</v>
      </c>
      <c r="AL19" s="3">
        <v>661</v>
      </c>
      <c r="AM19" s="3">
        <v>661</v>
      </c>
      <c r="AN19" s="3">
        <v>428</v>
      </c>
      <c r="AO19" s="3">
        <v>505</v>
      </c>
      <c r="AP19" s="3">
        <v>550</v>
      </c>
      <c r="AQ19" s="3">
        <v>661</v>
      </c>
      <c r="AR19" s="3">
        <v>202</v>
      </c>
      <c r="AS19" s="3">
        <v>787</v>
      </c>
      <c r="AT19" s="3">
        <v>818</v>
      </c>
      <c r="AU19" s="3">
        <v>682</v>
      </c>
      <c r="AV19" s="3">
        <v>848</v>
      </c>
      <c r="AW19" s="3">
        <v>720</v>
      </c>
      <c r="AX19" s="3">
        <v>702</v>
      </c>
      <c r="AY19" s="3">
        <v>359</v>
      </c>
      <c r="AZ19" s="3">
        <v>-433</v>
      </c>
      <c r="BA19" s="3">
        <v>-59</v>
      </c>
      <c r="BB19" s="3">
        <v>-66</v>
      </c>
      <c r="BC19" s="3">
        <v>448</v>
      </c>
      <c r="BD19" s="3">
        <v>3451</v>
      </c>
      <c r="BE19" s="3">
        <v>1143</v>
      </c>
      <c r="BF19" s="3">
        <v>1864</v>
      </c>
      <c r="BG19" s="3">
        <v>2334</v>
      </c>
      <c r="BH19" s="3">
        <v>3494</v>
      </c>
      <c r="BI19" s="3">
        <v>2709</v>
      </c>
      <c r="BJ19" s="3">
        <v>0</v>
      </c>
      <c r="BK19" s="3">
        <v>285.25513000000001</v>
      </c>
      <c r="BL19" s="3">
        <v>953</v>
      </c>
      <c r="BM19" s="3">
        <v>0.31058454000000002</v>
      </c>
      <c r="BN19" s="3">
        <v>0.19634254000000001</v>
      </c>
      <c r="BO19" s="3">
        <v>0.72752280999999996</v>
      </c>
      <c r="BP19" s="3">
        <v>0.80303712999999999</v>
      </c>
      <c r="BQ19" s="3">
        <v>796.84751800000004</v>
      </c>
      <c r="BR19" s="3">
        <v>434.01790799999998</v>
      </c>
      <c r="BS19" s="3">
        <v>2095.6477100000002</v>
      </c>
      <c r="BT19" s="3">
        <v>151.369272</v>
      </c>
      <c r="BU19" s="3">
        <v>422.75814400000002</v>
      </c>
      <c r="BW19" s="3">
        <v>1160.94451</v>
      </c>
      <c r="BX19" s="3" t="s">
        <v>377</v>
      </c>
      <c r="BY19" s="3">
        <v>81.176019996774698</v>
      </c>
      <c r="BZ19" s="3">
        <v>546.34330699999998</v>
      </c>
      <c r="CA19">
        <v>57.11847774598742</v>
      </c>
    </row>
    <row r="20" spans="1:79" ht="15.75" customHeight="1" x14ac:dyDescent="0.25">
      <c r="A20" s="3" t="s">
        <v>183</v>
      </c>
      <c r="B20" s="4">
        <v>693846.48</v>
      </c>
      <c r="C20" s="4">
        <v>6385161.9400000004</v>
      </c>
      <c r="D20" s="3" t="s">
        <v>36</v>
      </c>
      <c r="E20" s="3" t="s">
        <v>27</v>
      </c>
      <c r="F20" s="3" t="s">
        <v>182</v>
      </c>
      <c r="G20" s="3" t="s">
        <v>37</v>
      </c>
      <c r="H20" s="3" t="s">
        <v>81</v>
      </c>
      <c r="I20" s="3" t="s">
        <v>81</v>
      </c>
      <c r="J20" s="3" t="s">
        <v>81</v>
      </c>
      <c r="K20" s="3" t="s">
        <v>81</v>
      </c>
      <c r="L20" s="3" t="s">
        <v>81</v>
      </c>
      <c r="M20" s="3" t="s">
        <v>81</v>
      </c>
      <c r="N20" s="3" t="s">
        <v>80</v>
      </c>
      <c r="O20" s="7" t="s">
        <v>81</v>
      </c>
      <c r="P20" s="3" t="s">
        <v>217</v>
      </c>
      <c r="Q20">
        <v>0.12987000000000001</v>
      </c>
      <c r="R20" s="3">
        <v>1</v>
      </c>
      <c r="S20" s="3">
        <v>3.3376600000000001</v>
      </c>
      <c r="T20" s="3">
        <v>42</v>
      </c>
      <c r="U20" s="3">
        <v>89</v>
      </c>
      <c r="V20" s="3">
        <v>95</v>
      </c>
      <c r="W20" s="3">
        <v>72</v>
      </c>
      <c r="X20" s="3">
        <v>98</v>
      </c>
      <c r="Y20" s="3">
        <v>85</v>
      </c>
      <c r="Z20" s="3">
        <v>6</v>
      </c>
      <c r="AA20" s="3">
        <v>43</v>
      </c>
      <c r="AB20" s="3">
        <v>48</v>
      </c>
      <c r="AC20" s="3">
        <v>26</v>
      </c>
      <c r="AD20" s="3">
        <v>50</v>
      </c>
      <c r="AE20" s="3">
        <v>43</v>
      </c>
      <c r="AF20" s="3">
        <v>80</v>
      </c>
      <c r="AG20" s="3">
        <v>138</v>
      </c>
      <c r="AH20" s="3">
        <v>147</v>
      </c>
      <c r="AI20" s="3">
        <v>125</v>
      </c>
      <c r="AJ20" s="3">
        <v>150</v>
      </c>
      <c r="AK20" s="3">
        <v>130</v>
      </c>
      <c r="AL20" s="3">
        <v>618</v>
      </c>
      <c r="AM20" s="3">
        <v>618</v>
      </c>
      <c r="AN20" s="3">
        <v>391</v>
      </c>
      <c r="AO20" s="3">
        <v>454</v>
      </c>
      <c r="AP20" s="3">
        <v>509</v>
      </c>
      <c r="AQ20" s="3">
        <v>618</v>
      </c>
      <c r="AR20" s="3">
        <v>208</v>
      </c>
      <c r="AS20" s="3">
        <v>796</v>
      </c>
      <c r="AT20" s="3">
        <v>823</v>
      </c>
      <c r="AU20" s="3">
        <v>696</v>
      </c>
      <c r="AV20" s="3">
        <v>856</v>
      </c>
      <c r="AW20" s="3">
        <v>725</v>
      </c>
      <c r="AX20" s="3">
        <v>703</v>
      </c>
      <c r="AY20" s="3">
        <v>357</v>
      </c>
      <c r="AZ20" s="3">
        <v>-434</v>
      </c>
      <c r="BA20" s="3">
        <v>-69</v>
      </c>
      <c r="BB20" s="3">
        <v>-67</v>
      </c>
      <c r="BC20" s="3">
        <v>448</v>
      </c>
      <c r="BD20" s="3">
        <v>3439</v>
      </c>
      <c r="BE20" s="3">
        <v>1161</v>
      </c>
      <c r="BF20" s="3">
        <v>1876</v>
      </c>
      <c r="BG20" s="3">
        <v>2364</v>
      </c>
      <c r="BH20" s="3">
        <v>3523</v>
      </c>
      <c r="BI20" s="3">
        <v>2725</v>
      </c>
      <c r="BJ20" s="3">
        <v>0</v>
      </c>
      <c r="BK20" s="3">
        <v>300.17352</v>
      </c>
      <c r="BL20" s="3">
        <v>922</v>
      </c>
      <c r="BM20" s="3">
        <v>0.16792993000000001</v>
      </c>
      <c r="BN20" s="3">
        <v>0.30221696999999997</v>
      </c>
      <c r="BO20" s="3">
        <v>0.81644236000000003</v>
      </c>
      <c r="BP20" s="3">
        <v>0.70232362000000004</v>
      </c>
      <c r="BQ20" s="3">
        <v>1031.01576</v>
      </c>
      <c r="BR20" s="3">
        <v>338.800723</v>
      </c>
      <c r="BS20" s="3">
        <v>1441.26458</v>
      </c>
      <c r="BT20" s="3">
        <v>259.14463000000001</v>
      </c>
      <c r="BU20" s="3">
        <v>353.52253999999999</v>
      </c>
      <c r="BW20" s="3">
        <v>588.52813800000001</v>
      </c>
      <c r="BX20" s="3" t="s">
        <v>377</v>
      </c>
      <c r="BY20" s="3">
        <v>81.176019996774698</v>
      </c>
      <c r="BZ20" s="3">
        <v>804.77885100000003</v>
      </c>
      <c r="CA20">
        <v>94.350336512207619</v>
      </c>
    </row>
    <row r="21" spans="1:79" x14ac:dyDescent="0.25">
      <c r="A21" s="3" t="s">
        <v>184</v>
      </c>
      <c r="B21" s="4">
        <v>694107.65099999995</v>
      </c>
      <c r="C21" s="4">
        <v>6384839.0659999996</v>
      </c>
      <c r="D21" s="3" t="s">
        <v>36</v>
      </c>
      <c r="E21" s="3" t="s">
        <v>27</v>
      </c>
      <c r="F21" s="3" t="s">
        <v>182</v>
      </c>
      <c r="G21" s="3" t="s">
        <v>185</v>
      </c>
      <c r="H21" s="3" t="s">
        <v>80</v>
      </c>
      <c r="I21" s="3" t="s">
        <v>80</v>
      </c>
      <c r="J21" s="3" t="s">
        <v>80</v>
      </c>
      <c r="K21" s="3" t="s">
        <v>80</v>
      </c>
      <c r="L21" s="3" t="s">
        <v>80</v>
      </c>
      <c r="M21" s="3" t="s">
        <v>80</v>
      </c>
      <c r="N21" s="3" t="s">
        <v>81</v>
      </c>
      <c r="O21" s="7" t="s">
        <v>81</v>
      </c>
      <c r="Q21">
        <v>0.12987000000000001</v>
      </c>
      <c r="R21" s="3">
        <v>1</v>
      </c>
      <c r="S21" s="3">
        <v>3.3376600000000001</v>
      </c>
      <c r="T21" s="3">
        <v>42</v>
      </c>
      <c r="U21" s="3">
        <v>89</v>
      </c>
      <c r="V21" s="3">
        <v>95</v>
      </c>
      <c r="W21" s="3">
        <v>72</v>
      </c>
      <c r="X21" s="3">
        <v>98</v>
      </c>
      <c r="Y21" s="3">
        <v>85</v>
      </c>
      <c r="Z21" s="3">
        <v>6</v>
      </c>
      <c r="AA21" s="3">
        <v>43</v>
      </c>
      <c r="AB21" s="3">
        <v>48</v>
      </c>
      <c r="AC21" s="3">
        <v>26</v>
      </c>
      <c r="AD21" s="3">
        <v>50</v>
      </c>
      <c r="AE21" s="3">
        <v>43</v>
      </c>
      <c r="AF21" s="3">
        <v>80</v>
      </c>
      <c r="AG21" s="3">
        <v>138</v>
      </c>
      <c r="AH21" s="3">
        <v>147</v>
      </c>
      <c r="AI21" s="3">
        <v>125</v>
      </c>
      <c r="AJ21" s="3">
        <v>150</v>
      </c>
      <c r="AK21" s="3">
        <v>130</v>
      </c>
      <c r="AL21" s="3">
        <v>618</v>
      </c>
      <c r="AM21" s="3">
        <v>618</v>
      </c>
      <c r="AN21" s="3">
        <v>391</v>
      </c>
      <c r="AO21" s="3">
        <v>454</v>
      </c>
      <c r="AP21" s="3">
        <v>509</v>
      </c>
      <c r="AQ21" s="3">
        <v>618</v>
      </c>
      <c r="AR21" s="3">
        <v>208</v>
      </c>
      <c r="AS21" s="3">
        <v>796</v>
      </c>
      <c r="AT21" s="3">
        <v>823</v>
      </c>
      <c r="AU21" s="3">
        <v>696</v>
      </c>
      <c r="AV21" s="3">
        <v>856</v>
      </c>
      <c r="AW21" s="3">
        <v>725</v>
      </c>
      <c r="AX21" s="3">
        <v>703</v>
      </c>
      <c r="AY21" s="3">
        <v>357</v>
      </c>
      <c r="AZ21" s="3">
        <v>-434</v>
      </c>
      <c r="BA21" s="3">
        <v>-69</v>
      </c>
      <c r="BB21" s="3">
        <v>-67</v>
      </c>
      <c r="BC21" s="3">
        <v>448</v>
      </c>
      <c r="BD21" s="3">
        <v>3470</v>
      </c>
      <c r="BE21" s="3">
        <v>1156</v>
      </c>
      <c r="BF21" s="3">
        <v>1874</v>
      </c>
      <c r="BG21" s="3">
        <v>2355</v>
      </c>
      <c r="BH21" s="3">
        <v>3506</v>
      </c>
      <c r="BI21" s="3">
        <v>2726</v>
      </c>
      <c r="BJ21" s="3">
        <v>0</v>
      </c>
      <c r="BK21" s="3">
        <v>135</v>
      </c>
      <c r="BL21" s="3">
        <v>947</v>
      </c>
      <c r="BN21" s="3">
        <v>0.10886137999999999</v>
      </c>
      <c r="BO21" s="3">
        <v>0.97011016999999999</v>
      </c>
      <c r="BP21" s="3">
        <v>0.86113275</v>
      </c>
      <c r="BQ21" s="3">
        <v>1074.3142499999999</v>
      </c>
      <c r="BR21" s="3">
        <v>45.064269500000002</v>
      </c>
      <c r="BS21" s="3">
        <v>1820.4588799999999</v>
      </c>
      <c r="BT21" s="3">
        <v>446.33852300000001</v>
      </c>
      <c r="BU21" s="3">
        <v>213.55654200000001</v>
      </c>
      <c r="BV21" s="3">
        <v>516.28728000000001</v>
      </c>
      <c r="BW21" s="3">
        <v>2078.0604199999998</v>
      </c>
      <c r="BX21" s="3" t="s">
        <v>377</v>
      </c>
      <c r="BY21" s="3">
        <v>81.176019996774698</v>
      </c>
      <c r="BZ21" s="3">
        <v>390.68053500000002</v>
      </c>
      <c r="CA21">
        <v>317.35282244174641</v>
      </c>
    </row>
    <row r="22" spans="1:79" x14ac:dyDescent="0.25">
      <c r="A22" s="3" t="s">
        <v>186</v>
      </c>
      <c r="B22" s="4">
        <v>694338.81599999999</v>
      </c>
      <c r="C22" s="4">
        <v>6384508.5760000004</v>
      </c>
      <c r="D22" s="3" t="s">
        <v>36</v>
      </c>
      <c r="E22" s="3" t="s">
        <v>27</v>
      </c>
      <c r="F22" s="3" t="s">
        <v>182</v>
      </c>
      <c r="G22" s="3" t="s">
        <v>38</v>
      </c>
      <c r="H22" s="3" t="s">
        <v>81</v>
      </c>
      <c r="I22" s="3" t="s">
        <v>81</v>
      </c>
      <c r="J22" s="3" t="s">
        <v>81</v>
      </c>
      <c r="K22" s="3" t="s">
        <v>81</v>
      </c>
      <c r="L22" s="3" t="s">
        <v>80</v>
      </c>
      <c r="M22" s="6" t="s">
        <v>81</v>
      </c>
      <c r="N22" s="6" t="s">
        <v>81</v>
      </c>
      <c r="O22" s="7" t="s">
        <v>81</v>
      </c>
      <c r="Q22">
        <v>0.12987000000000001</v>
      </c>
      <c r="R22" s="3">
        <v>1</v>
      </c>
      <c r="S22" s="3">
        <v>3.3376600000000001</v>
      </c>
      <c r="T22" s="3">
        <v>41</v>
      </c>
      <c r="U22" s="3">
        <v>88</v>
      </c>
      <c r="V22" s="3">
        <v>94</v>
      </c>
      <c r="W22" s="3">
        <v>72</v>
      </c>
      <c r="X22" s="3">
        <v>97</v>
      </c>
      <c r="Y22" s="3">
        <v>84</v>
      </c>
      <c r="Z22" s="3">
        <v>9</v>
      </c>
      <c r="AA22" s="3">
        <v>45</v>
      </c>
      <c r="AB22" s="3">
        <v>51</v>
      </c>
      <c r="AC22" s="3">
        <v>28</v>
      </c>
      <c r="AD22" s="3">
        <v>52</v>
      </c>
      <c r="AE22" s="3">
        <v>45</v>
      </c>
      <c r="AF22" s="3">
        <v>77</v>
      </c>
      <c r="AG22" s="3">
        <v>134</v>
      </c>
      <c r="AH22" s="3">
        <v>142</v>
      </c>
      <c r="AI22" s="3">
        <v>120</v>
      </c>
      <c r="AJ22" s="3">
        <v>145</v>
      </c>
      <c r="AK22" s="3">
        <v>126</v>
      </c>
      <c r="AL22" s="3">
        <v>701</v>
      </c>
      <c r="AM22" s="3">
        <v>701</v>
      </c>
      <c r="AN22" s="3">
        <v>448</v>
      </c>
      <c r="AO22" s="3">
        <v>519</v>
      </c>
      <c r="AP22" s="3">
        <v>578</v>
      </c>
      <c r="AQ22" s="3">
        <v>701</v>
      </c>
      <c r="AR22" s="3">
        <v>209</v>
      </c>
      <c r="AS22" s="3">
        <v>796</v>
      </c>
      <c r="AT22" s="3">
        <v>825</v>
      </c>
      <c r="AU22" s="3">
        <v>697</v>
      </c>
      <c r="AV22" s="3">
        <v>861</v>
      </c>
      <c r="AW22" s="3">
        <v>725</v>
      </c>
      <c r="AX22" s="3">
        <v>695</v>
      </c>
      <c r="AY22" s="3">
        <v>361</v>
      </c>
      <c r="AZ22" s="3">
        <v>-443</v>
      </c>
      <c r="BA22" s="3">
        <v>-75</v>
      </c>
      <c r="BB22" s="3">
        <v>-81</v>
      </c>
      <c r="BC22" s="3">
        <v>437</v>
      </c>
      <c r="BD22" s="3">
        <v>3470</v>
      </c>
      <c r="BE22" s="3">
        <v>1156</v>
      </c>
      <c r="BF22" s="3">
        <v>1874</v>
      </c>
      <c r="BG22" s="3">
        <v>2355</v>
      </c>
      <c r="BH22" s="3">
        <v>3506</v>
      </c>
      <c r="BI22" s="3">
        <v>2726</v>
      </c>
      <c r="BJ22" s="3">
        <v>0</v>
      </c>
      <c r="BK22" s="3">
        <v>138.73140000000001</v>
      </c>
      <c r="BL22" s="3">
        <v>909</v>
      </c>
      <c r="BM22" s="3">
        <v>0.55502386999999997</v>
      </c>
      <c r="BN22" s="3">
        <v>0.46515793999999999</v>
      </c>
      <c r="BO22" s="3">
        <v>0.45969341000000002</v>
      </c>
      <c r="BP22" s="3">
        <v>0.53107174000000001</v>
      </c>
      <c r="BQ22" s="3">
        <v>1268.16641</v>
      </c>
      <c r="BR22" s="3">
        <v>391.13807400000002</v>
      </c>
      <c r="BS22" s="3">
        <v>2208.88249</v>
      </c>
      <c r="BT22" s="3">
        <v>129.63820200000001</v>
      </c>
      <c r="BU22" s="3">
        <v>356.28541100000001</v>
      </c>
      <c r="BW22" s="3">
        <v>1629.9331199999999</v>
      </c>
      <c r="BX22" s="3" t="s">
        <v>377</v>
      </c>
      <c r="BY22" s="3">
        <v>81.176019996774698</v>
      </c>
      <c r="BZ22" s="3">
        <v>71.7498231</v>
      </c>
      <c r="CA22">
        <v>12.301495844066549</v>
      </c>
    </row>
    <row r="23" spans="1:79" ht="14.25" customHeight="1" x14ac:dyDescent="0.25">
      <c r="A23" s="3" t="s">
        <v>187</v>
      </c>
      <c r="B23" s="4">
        <v>693208.77</v>
      </c>
      <c r="C23" s="4">
        <v>6385272.79</v>
      </c>
      <c r="D23" t="s">
        <v>39</v>
      </c>
      <c r="E23" t="s">
        <v>27</v>
      </c>
      <c r="F23" t="s">
        <v>40</v>
      </c>
      <c r="G23" t="s">
        <v>378</v>
      </c>
      <c r="H23" s="3" t="s">
        <v>81</v>
      </c>
      <c r="I23" s="3" t="s">
        <v>81</v>
      </c>
      <c r="J23" s="3" t="s">
        <v>81</v>
      </c>
      <c r="K23" s="3" t="s">
        <v>81</v>
      </c>
      <c r="L23" s="3" t="s">
        <v>81</v>
      </c>
      <c r="M23" s="3" t="s">
        <v>80</v>
      </c>
      <c r="N23" s="3" t="s">
        <v>80</v>
      </c>
      <c r="O23" s="7" t="s">
        <v>81</v>
      </c>
      <c r="Q23">
        <v>0.12987000000000001</v>
      </c>
      <c r="R23" s="3">
        <v>1</v>
      </c>
      <c r="S23" s="3">
        <v>3.3376600000000001</v>
      </c>
      <c r="T23" s="3">
        <v>42</v>
      </c>
      <c r="U23" s="3">
        <v>89</v>
      </c>
      <c r="V23" s="3">
        <v>95</v>
      </c>
      <c r="W23" s="3">
        <v>72</v>
      </c>
      <c r="X23" s="3">
        <v>98</v>
      </c>
      <c r="Y23" s="3">
        <v>85</v>
      </c>
      <c r="Z23" s="3">
        <v>6</v>
      </c>
      <c r="AA23" s="3">
        <v>43</v>
      </c>
      <c r="AB23" s="3">
        <v>48</v>
      </c>
      <c r="AC23" s="3">
        <v>26</v>
      </c>
      <c r="AD23" s="3">
        <v>50</v>
      </c>
      <c r="AE23" s="3">
        <v>43</v>
      </c>
      <c r="AF23" s="3">
        <v>80</v>
      </c>
      <c r="AG23" s="3">
        <v>138</v>
      </c>
      <c r="AH23" s="3">
        <v>147</v>
      </c>
      <c r="AI23" s="3">
        <v>125</v>
      </c>
      <c r="AJ23" s="3">
        <v>150</v>
      </c>
      <c r="AK23" s="3">
        <v>130</v>
      </c>
      <c r="AL23" s="3">
        <v>618</v>
      </c>
      <c r="AM23" s="3">
        <v>618</v>
      </c>
      <c r="AN23" s="3">
        <v>391</v>
      </c>
      <c r="AO23" s="3">
        <v>454</v>
      </c>
      <c r="AP23" s="3">
        <v>509</v>
      </c>
      <c r="AQ23" s="3">
        <v>618</v>
      </c>
      <c r="AR23" s="3">
        <v>208</v>
      </c>
      <c r="AS23" s="3">
        <v>796</v>
      </c>
      <c r="AT23" s="3">
        <v>823</v>
      </c>
      <c r="AU23" s="3">
        <v>696</v>
      </c>
      <c r="AV23" s="3">
        <v>856</v>
      </c>
      <c r="AW23" s="3">
        <v>725</v>
      </c>
      <c r="AX23" s="3">
        <v>703</v>
      </c>
      <c r="AY23" s="3">
        <v>357</v>
      </c>
      <c r="AZ23" s="3">
        <v>-434</v>
      </c>
      <c r="BA23" s="3">
        <v>-69</v>
      </c>
      <c r="BB23" s="3">
        <v>-67</v>
      </c>
      <c r="BC23" s="3">
        <v>448</v>
      </c>
      <c r="BD23" s="3">
        <v>3465</v>
      </c>
      <c r="BE23" s="3">
        <v>1177</v>
      </c>
      <c r="BF23" s="3">
        <v>1892</v>
      </c>
      <c r="BG23" s="3">
        <v>2383</v>
      </c>
      <c r="BH23" s="3">
        <v>3545</v>
      </c>
      <c r="BI23" s="3">
        <v>2751</v>
      </c>
      <c r="BJ23" s="3">
        <v>0</v>
      </c>
      <c r="BK23" s="3">
        <v>150.70863</v>
      </c>
      <c r="BL23" s="3">
        <v>910</v>
      </c>
      <c r="BM23" s="3">
        <v>0.28520494000000002</v>
      </c>
      <c r="BN23" s="3">
        <v>0.43600271000000002</v>
      </c>
      <c r="BO23" s="3">
        <v>0.72134443000000004</v>
      </c>
      <c r="BP23" s="3">
        <v>0.59687778999999996</v>
      </c>
      <c r="BQ23" s="3">
        <v>1330.11734</v>
      </c>
      <c r="BR23" s="3">
        <v>54.055711000000002</v>
      </c>
      <c r="BS23" s="3">
        <v>992.45910100000003</v>
      </c>
      <c r="BT23" s="3">
        <v>269.22100999999998</v>
      </c>
      <c r="BU23" s="3">
        <v>69.696779000000006</v>
      </c>
      <c r="BV23" s="3">
        <v>950.47650999999996</v>
      </c>
      <c r="BW23" s="3">
        <v>2578.5543899999998</v>
      </c>
      <c r="BX23" s="3" t="s">
        <v>379</v>
      </c>
      <c r="BY23" s="3">
        <v>3.14509246088193</v>
      </c>
      <c r="BZ23" s="3">
        <v>1189.0187100000001</v>
      </c>
      <c r="CA23">
        <v>45.06621111993006</v>
      </c>
    </row>
    <row r="24" spans="1:79" x14ac:dyDescent="0.25">
      <c r="A24" s="3" t="s">
        <v>188</v>
      </c>
      <c r="B24" s="4">
        <v>695955.37</v>
      </c>
      <c r="C24" s="4">
        <v>6384891.4000000004</v>
      </c>
      <c r="D24" s="3" t="s">
        <v>41</v>
      </c>
      <c r="E24" s="3" t="s">
        <v>27</v>
      </c>
      <c r="F24" s="3" t="s">
        <v>42</v>
      </c>
      <c r="G24" s="3" t="s">
        <v>43</v>
      </c>
      <c r="H24" s="3" t="s">
        <v>80</v>
      </c>
      <c r="I24" s="3" t="s">
        <v>81</v>
      </c>
      <c r="J24" s="3" t="s">
        <v>81</v>
      </c>
      <c r="K24" s="3" t="s">
        <v>81</v>
      </c>
      <c r="L24" s="6" t="s">
        <v>80</v>
      </c>
      <c r="M24" s="3" t="s">
        <v>80</v>
      </c>
      <c r="N24" s="3" t="s">
        <v>80</v>
      </c>
      <c r="O24" s="7" t="s">
        <v>81</v>
      </c>
      <c r="P24" s="5"/>
      <c r="Q24">
        <v>0.12987000000000001</v>
      </c>
      <c r="R24" s="3">
        <v>1</v>
      </c>
      <c r="S24" s="3">
        <v>3.3376600000000001</v>
      </c>
      <c r="T24" s="3">
        <v>39</v>
      </c>
      <c r="U24" s="3">
        <v>85</v>
      </c>
      <c r="V24" s="3">
        <v>91</v>
      </c>
      <c r="W24" s="3">
        <v>68</v>
      </c>
      <c r="X24" s="3">
        <v>94</v>
      </c>
      <c r="Y24" s="3">
        <v>81</v>
      </c>
      <c r="Z24" s="3">
        <v>1</v>
      </c>
      <c r="AA24" s="3">
        <v>38</v>
      </c>
      <c r="AB24" s="3">
        <v>43</v>
      </c>
      <c r="AC24" s="3">
        <v>19</v>
      </c>
      <c r="AD24" s="3">
        <v>42</v>
      </c>
      <c r="AE24" s="3">
        <v>39</v>
      </c>
      <c r="AF24" s="3">
        <v>78</v>
      </c>
      <c r="AG24" s="3">
        <v>133</v>
      </c>
      <c r="AH24" s="3">
        <v>141</v>
      </c>
      <c r="AI24" s="3">
        <v>119</v>
      </c>
      <c r="AJ24" s="3">
        <v>146</v>
      </c>
      <c r="AK24" s="3">
        <v>125</v>
      </c>
      <c r="AL24" s="3">
        <v>672</v>
      </c>
      <c r="AM24" s="3">
        <v>672</v>
      </c>
      <c r="AN24" s="3">
        <v>433</v>
      </c>
      <c r="AO24" s="3">
        <v>514</v>
      </c>
      <c r="AP24" s="3">
        <v>553</v>
      </c>
      <c r="AQ24" s="3">
        <v>672</v>
      </c>
      <c r="AR24" s="3">
        <v>204</v>
      </c>
      <c r="AS24" s="3">
        <v>786</v>
      </c>
      <c r="AT24" s="3">
        <v>814</v>
      </c>
      <c r="AU24" s="3">
        <v>680</v>
      </c>
      <c r="AV24" s="3">
        <v>853</v>
      </c>
      <c r="AW24" s="3">
        <v>716</v>
      </c>
      <c r="AX24" s="3">
        <v>695</v>
      </c>
      <c r="AY24" s="3">
        <v>355</v>
      </c>
      <c r="AZ24" s="3">
        <v>-434</v>
      </c>
      <c r="BA24" s="3">
        <v>-60</v>
      </c>
      <c r="BB24" s="3">
        <v>-76</v>
      </c>
      <c r="BC24" s="3">
        <v>448</v>
      </c>
      <c r="BD24" s="3">
        <v>3429</v>
      </c>
      <c r="BE24" s="3">
        <v>1128</v>
      </c>
      <c r="BF24" s="3">
        <v>1854</v>
      </c>
      <c r="BG24" s="3">
        <v>2318</v>
      </c>
      <c r="BH24" s="3">
        <v>3473</v>
      </c>
      <c r="BI24" s="3">
        <v>2690</v>
      </c>
      <c r="BJ24" s="3">
        <v>0</v>
      </c>
      <c r="BK24" s="3">
        <v>135</v>
      </c>
      <c r="BL24" s="3">
        <v>973</v>
      </c>
      <c r="BM24" s="3">
        <v>0.50192577999999999</v>
      </c>
      <c r="BN24" s="3">
        <v>0.72158882999999996</v>
      </c>
      <c r="BO24" s="3">
        <v>0.50813534000000005</v>
      </c>
      <c r="BP24" s="3">
        <v>0.29072658000000001</v>
      </c>
      <c r="BQ24" s="3">
        <v>904.13884499999995</v>
      </c>
      <c r="BR24" s="3">
        <v>754.57496400000002</v>
      </c>
      <c r="BS24" s="3">
        <v>2932.2165</v>
      </c>
      <c r="BT24" s="3">
        <v>265.41388899999998</v>
      </c>
      <c r="BU24" s="3">
        <v>766.76734699999997</v>
      </c>
      <c r="BX24" s="3" t="s">
        <v>380</v>
      </c>
      <c r="BY24" s="3">
        <v>25.5</v>
      </c>
      <c r="BZ24" s="3">
        <v>336.58480500000002</v>
      </c>
      <c r="CA24">
        <v>50.66522377330142</v>
      </c>
    </row>
    <row r="25" spans="1:79" x14ac:dyDescent="0.25">
      <c r="A25" s="3" t="s">
        <v>189</v>
      </c>
      <c r="B25" s="4">
        <v>694865.09</v>
      </c>
      <c r="C25" s="4">
        <v>6383912.3499999996</v>
      </c>
      <c r="D25" s="3" t="s">
        <v>44</v>
      </c>
      <c r="E25" s="3" t="s">
        <v>27</v>
      </c>
      <c r="F25" s="3" t="s">
        <v>35</v>
      </c>
      <c r="G25" s="3" t="s">
        <v>45</v>
      </c>
      <c r="H25" s="3" t="s">
        <v>81</v>
      </c>
      <c r="I25" s="3" t="s">
        <v>80</v>
      </c>
      <c r="J25" s="3" t="s">
        <v>81</v>
      </c>
      <c r="K25" s="3" t="s">
        <v>81</v>
      </c>
      <c r="L25" s="3" t="s">
        <v>81</v>
      </c>
      <c r="M25" s="3" t="s">
        <v>81</v>
      </c>
      <c r="N25" s="3" t="s">
        <v>81</v>
      </c>
      <c r="O25" s="7" t="s">
        <v>81</v>
      </c>
      <c r="P25" s="3" t="s">
        <v>218</v>
      </c>
      <c r="Q25">
        <v>0.12987000000000001</v>
      </c>
      <c r="R25" s="3">
        <v>1</v>
      </c>
      <c r="S25" s="3">
        <v>3.3376600000000001</v>
      </c>
      <c r="T25" s="3">
        <v>41</v>
      </c>
      <c r="U25" s="3">
        <v>88</v>
      </c>
      <c r="V25" s="3">
        <v>94</v>
      </c>
      <c r="W25" s="3">
        <v>72</v>
      </c>
      <c r="X25" s="3">
        <v>97</v>
      </c>
      <c r="Y25" s="3">
        <v>84</v>
      </c>
      <c r="Z25" s="3">
        <v>9</v>
      </c>
      <c r="AA25" s="3">
        <v>45</v>
      </c>
      <c r="AB25" s="3">
        <v>51</v>
      </c>
      <c r="AC25" s="3">
        <v>28</v>
      </c>
      <c r="AD25" s="3">
        <v>52</v>
      </c>
      <c r="AE25" s="3">
        <v>45</v>
      </c>
      <c r="AF25" s="3">
        <v>77</v>
      </c>
      <c r="AG25" s="3">
        <v>134</v>
      </c>
      <c r="AH25" s="3">
        <v>142</v>
      </c>
      <c r="AI25" s="3">
        <v>120</v>
      </c>
      <c r="AJ25" s="3">
        <v>145</v>
      </c>
      <c r="AK25" s="3">
        <v>126</v>
      </c>
      <c r="AL25" s="3">
        <v>701</v>
      </c>
      <c r="AM25" s="3">
        <v>701</v>
      </c>
      <c r="AN25" s="3">
        <v>448</v>
      </c>
      <c r="AO25" s="3">
        <v>519</v>
      </c>
      <c r="AP25" s="3">
        <v>578</v>
      </c>
      <c r="AQ25" s="3">
        <v>701</v>
      </c>
      <c r="AR25" s="3">
        <v>209</v>
      </c>
      <c r="AS25" s="3">
        <v>796</v>
      </c>
      <c r="AT25" s="3">
        <v>825</v>
      </c>
      <c r="AU25" s="3">
        <v>697</v>
      </c>
      <c r="AV25" s="3">
        <v>861</v>
      </c>
      <c r="AW25" s="3">
        <v>725</v>
      </c>
      <c r="AX25" s="3">
        <v>695</v>
      </c>
      <c r="AY25" s="3">
        <v>361</v>
      </c>
      <c r="AZ25" s="3">
        <v>-443</v>
      </c>
      <c r="BA25" s="3">
        <v>-75</v>
      </c>
      <c r="BB25" s="3">
        <v>-81</v>
      </c>
      <c r="BC25" s="3">
        <v>437</v>
      </c>
      <c r="BD25" s="3">
        <v>3486</v>
      </c>
      <c r="BE25" s="3">
        <v>1137</v>
      </c>
      <c r="BF25" s="3">
        <v>1862</v>
      </c>
      <c r="BG25" s="3">
        <v>2325</v>
      </c>
      <c r="BH25" s="3">
        <v>3477</v>
      </c>
      <c r="BI25" s="3">
        <v>2710</v>
      </c>
      <c r="BJ25" s="3">
        <v>0</v>
      </c>
      <c r="BK25" s="3">
        <v>116.56505</v>
      </c>
      <c r="BL25" s="3">
        <v>963</v>
      </c>
      <c r="BM25" s="3">
        <v>0.30497055000000001</v>
      </c>
      <c r="BN25" s="3">
        <v>0.49570764</v>
      </c>
      <c r="BO25" s="3">
        <v>0.70763882</v>
      </c>
      <c r="BP25" s="3">
        <v>0.50116115000000006</v>
      </c>
      <c r="BQ25" s="3">
        <v>1691.0102400000001</v>
      </c>
      <c r="BR25" s="3">
        <v>739.80188899999996</v>
      </c>
      <c r="BS25" s="3">
        <v>2966.5136499999999</v>
      </c>
      <c r="BT25" s="3">
        <v>548.41916000000003</v>
      </c>
      <c r="BU25" s="3">
        <v>1069.45605</v>
      </c>
      <c r="BX25" s="3" t="s">
        <v>381</v>
      </c>
      <c r="BY25" s="3">
        <v>20.518783573650001</v>
      </c>
      <c r="BZ25" s="3">
        <v>392.24178499999999</v>
      </c>
      <c r="CA25">
        <v>98.312820120434679</v>
      </c>
    </row>
    <row r="26" spans="1:79" x14ac:dyDescent="0.25">
      <c r="A26" s="3" t="s">
        <v>190</v>
      </c>
      <c r="B26" s="4">
        <v>696678.66500000004</v>
      </c>
      <c r="C26" s="4">
        <v>6385140.2620000001</v>
      </c>
      <c r="D26" s="3" t="s">
        <v>44</v>
      </c>
      <c r="E26" s="3" t="s">
        <v>27</v>
      </c>
      <c r="F26" s="3" t="s">
        <v>35</v>
      </c>
      <c r="G26" s="3" t="s">
        <v>46</v>
      </c>
      <c r="H26" s="3" t="s">
        <v>80</v>
      </c>
      <c r="I26" s="3" t="s">
        <v>80</v>
      </c>
      <c r="J26" s="3" t="s">
        <v>80</v>
      </c>
      <c r="K26" s="3" t="s">
        <v>81</v>
      </c>
      <c r="L26" s="3" t="s">
        <v>81</v>
      </c>
      <c r="M26" s="3" t="s">
        <v>81</v>
      </c>
      <c r="N26" s="3" t="s">
        <v>81</v>
      </c>
      <c r="O26" s="7" t="s">
        <v>81</v>
      </c>
      <c r="P26" s="3" t="s">
        <v>191</v>
      </c>
      <c r="Q26">
        <v>0.12987000000000001</v>
      </c>
      <c r="R26" s="3">
        <v>1</v>
      </c>
      <c r="S26" s="3">
        <v>3.3376600000000001</v>
      </c>
      <c r="T26" s="3">
        <v>39</v>
      </c>
      <c r="U26" s="3">
        <v>84</v>
      </c>
      <c r="V26" s="3">
        <v>91</v>
      </c>
      <c r="W26" s="3">
        <v>68</v>
      </c>
      <c r="X26" s="3">
        <v>94</v>
      </c>
      <c r="Y26" s="3">
        <v>81</v>
      </c>
      <c r="Z26" s="3">
        <v>-2</v>
      </c>
      <c r="AA26" s="3">
        <v>36</v>
      </c>
      <c r="AB26" s="3">
        <v>40</v>
      </c>
      <c r="AC26" s="3">
        <v>15</v>
      </c>
      <c r="AD26" s="3">
        <v>40</v>
      </c>
      <c r="AE26" s="3">
        <v>38</v>
      </c>
      <c r="AF26" s="3">
        <v>79</v>
      </c>
      <c r="AG26" s="3">
        <v>135</v>
      </c>
      <c r="AH26" s="3">
        <v>143</v>
      </c>
      <c r="AI26" s="3">
        <v>121</v>
      </c>
      <c r="AJ26" s="3">
        <v>148</v>
      </c>
      <c r="AK26" s="3">
        <v>127</v>
      </c>
      <c r="AL26" s="3">
        <v>619</v>
      </c>
      <c r="AM26" s="3">
        <v>619</v>
      </c>
      <c r="AN26" s="3">
        <v>387</v>
      </c>
      <c r="AO26" s="3">
        <v>467</v>
      </c>
      <c r="AP26" s="3">
        <v>503</v>
      </c>
      <c r="AQ26" s="3">
        <v>619</v>
      </c>
      <c r="AR26" s="3">
        <v>200</v>
      </c>
      <c r="AS26" s="3">
        <v>778</v>
      </c>
      <c r="AT26" s="3">
        <v>810</v>
      </c>
      <c r="AU26" s="3">
        <v>676</v>
      </c>
      <c r="AV26" s="3">
        <v>849</v>
      </c>
      <c r="AW26" s="3">
        <v>710</v>
      </c>
      <c r="AX26" s="3">
        <v>693</v>
      </c>
      <c r="AY26" s="3">
        <v>355</v>
      </c>
      <c r="AZ26" s="3">
        <v>-435</v>
      </c>
      <c r="BA26" s="3">
        <v>-59</v>
      </c>
      <c r="BB26" s="3">
        <v>-78</v>
      </c>
      <c r="BC26" s="3">
        <v>449</v>
      </c>
      <c r="BD26" s="3">
        <v>3378</v>
      </c>
      <c r="BE26" s="3">
        <v>1124</v>
      </c>
      <c r="BF26" s="3">
        <v>1853</v>
      </c>
      <c r="BG26" s="3">
        <v>2311</v>
      </c>
      <c r="BH26" s="3">
        <v>3495</v>
      </c>
      <c r="BI26" s="3">
        <v>2678</v>
      </c>
      <c r="BJ26" s="3">
        <v>0</v>
      </c>
      <c r="BK26" s="3">
        <v>170.31121999999999</v>
      </c>
      <c r="BL26" s="3">
        <v>1012</v>
      </c>
      <c r="BM26" s="3">
        <v>0.22239253</v>
      </c>
      <c r="BN26" s="3">
        <v>0.37012038000000003</v>
      </c>
      <c r="BO26" s="3">
        <v>0.90479604999999996</v>
      </c>
      <c r="BP26" s="3">
        <v>0.65548700000000004</v>
      </c>
      <c r="BQ26" s="3">
        <v>342.64599199999998</v>
      </c>
      <c r="BR26" s="3">
        <v>396.67959100000002</v>
      </c>
      <c r="BS26" s="3">
        <v>3438.1333399999999</v>
      </c>
      <c r="BT26" s="3">
        <v>418.00221699999997</v>
      </c>
      <c r="BU26" s="3">
        <v>489.67236100000002</v>
      </c>
      <c r="BW26" s="3">
        <v>39.589601700000003</v>
      </c>
      <c r="BX26" s="3" t="s">
        <v>380</v>
      </c>
      <c r="BY26" s="3">
        <v>25.5</v>
      </c>
      <c r="BZ26" s="3">
        <v>428.67800199999999</v>
      </c>
      <c r="CA26">
        <v>36.651664355111869</v>
      </c>
    </row>
    <row r="27" spans="1:79" x14ac:dyDescent="0.25">
      <c r="A27" s="3" t="s">
        <v>194</v>
      </c>
      <c r="B27" s="4">
        <v>692457</v>
      </c>
      <c r="C27" s="4">
        <v>6387393</v>
      </c>
      <c r="D27" s="3" t="s">
        <v>47</v>
      </c>
      <c r="E27" s="3" t="s">
        <v>27</v>
      </c>
      <c r="G27" s="3" t="s">
        <v>195</v>
      </c>
      <c r="H27" s="3" t="s">
        <v>81</v>
      </c>
      <c r="I27" s="3" t="s">
        <v>81</v>
      </c>
      <c r="J27" s="3" t="s">
        <v>81</v>
      </c>
      <c r="K27" s="3" t="s">
        <v>80</v>
      </c>
      <c r="L27" s="3" t="s">
        <v>80</v>
      </c>
      <c r="M27" s="3" t="s">
        <v>80</v>
      </c>
      <c r="N27" s="3" t="s">
        <v>80</v>
      </c>
      <c r="O27" s="7" t="s">
        <v>80</v>
      </c>
      <c r="P27" s="3" t="s">
        <v>192</v>
      </c>
      <c r="Q27">
        <v>0.12987000000000001</v>
      </c>
      <c r="R27" s="3">
        <v>1</v>
      </c>
      <c r="S27" s="3">
        <v>3.3376600000000001</v>
      </c>
      <c r="T27" s="3">
        <v>45</v>
      </c>
      <c r="U27" s="3">
        <v>94</v>
      </c>
      <c r="V27" s="3">
        <v>100</v>
      </c>
      <c r="W27" s="3">
        <v>78</v>
      </c>
      <c r="X27" s="3">
        <v>103</v>
      </c>
      <c r="Y27" s="3">
        <v>91</v>
      </c>
      <c r="Z27" s="3">
        <v>0</v>
      </c>
      <c r="AA27" s="3">
        <v>39</v>
      </c>
      <c r="AB27" s="3">
        <v>42</v>
      </c>
      <c r="AC27" s="3">
        <v>20</v>
      </c>
      <c r="AD27" s="3">
        <v>44</v>
      </c>
      <c r="AE27" s="3">
        <v>41</v>
      </c>
      <c r="AF27" s="3">
        <v>86</v>
      </c>
      <c r="AG27" s="3">
        <v>147</v>
      </c>
      <c r="AH27" s="3">
        <v>155</v>
      </c>
      <c r="AI27" s="3">
        <v>133</v>
      </c>
      <c r="AJ27" s="3">
        <v>159</v>
      </c>
      <c r="AK27" s="3">
        <v>139</v>
      </c>
      <c r="AL27" s="3">
        <v>724</v>
      </c>
      <c r="AM27" s="3">
        <v>724</v>
      </c>
      <c r="AN27" s="3">
        <v>459</v>
      </c>
      <c r="AO27" s="3">
        <v>527</v>
      </c>
      <c r="AP27" s="3">
        <v>613</v>
      </c>
      <c r="AQ27" s="3">
        <v>724</v>
      </c>
      <c r="AR27" s="3">
        <v>217</v>
      </c>
      <c r="AS27" s="3">
        <v>807</v>
      </c>
      <c r="AT27" s="3">
        <v>837</v>
      </c>
      <c r="AU27" s="3">
        <v>719</v>
      </c>
      <c r="AV27" s="3">
        <v>865</v>
      </c>
      <c r="AW27" s="3">
        <v>743</v>
      </c>
      <c r="AX27" s="3">
        <v>701</v>
      </c>
      <c r="AY27" s="3">
        <v>337</v>
      </c>
      <c r="AZ27" s="3">
        <v>-440</v>
      </c>
      <c r="BA27" s="3">
        <v>-86</v>
      </c>
      <c r="BB27" s="3">
        <v>-64</v>
      </c>
      <c r="BC27" s="3">
        <v>448</v>
      </c>
      <c r="BD27" s="3">
        <v>3431</v>
      </c>
      <c r="BE27" s="3">
        <v>1201</v>
      </c>
      <c r="BF27" s="3">
        <v>1905</v>
      </c>
      <c r="BG27" s="3">
        <v>2417</v>
      </c>
      <c r="BH27" s="3">
        <v>3593</v>
      </c>
      <c r="BI27" s="3">
        <v>2770</v>
      </c>
      <c r="BJ27" s="3">
        <v>0</v>
      </c>
      <c r="BK27" s="3">
        <v>198.43494999999999</v>
      </c>
      <c r="BL27" s="3">
        <v>946</v>
      </c>
      <c r="BM27" s="3">
        <v>2.7022620000000001E-2</v>
      </c>
      <c r="BN27" s="3">
        <v>0.33431682000000001</v>
      </c>
      <c r="BO27" s="3">
        <v>0.95691252999999998</v>
      </c>
      <c r="BP27" s="3">
        <v>0.64761517000000002</v>
      </c>
      <c r="BQ27" s="3">
        <v>455.77946400000002</v>
      </c>
      <c r="BR27" s="3">
        <v>223.33687599999999</v>
      </c>
      <c r="BS27" s="3">
        <v>1081.16741</v>
      </c>
      <c r="BT27" s="3">
        <v>210.09743</v>
      </c>
      <c r="BU27" s="3">
        <v>222.94259400000001</v>
      </c>
      <c r="BV27" s="3">
        <v>521.26948900000002</v>
      </c>
      <c r="BW27" s="3">
        <v>4164.0756199999996</v>
      </c>
      <c r="BX27" s="3" t="s">
        <v>373</v>
      </c>
      <c r="BY27" s="3">
        <v>31.6071428571429</v>
      </c>
      <c r="BZ27" s="3">
        <v>1019.07272</v>
      </c>
      <c r="CA27">
        <v>206.79806575513169</v>
      </c>
    </row>
    <row r="28" spans="1:79" x14ac:dyDescent="0.25">
      <c r="A28" s="3" t="s">
        <v>193</v>
      </c>
      <c r="B28" s="4">
        <v>696425.05</v>
      </c>
      <c r="C28" s="4">
        <v>6389667.25</v>
      </c>
      <c r="D28" s="3" t="s">
        <v>47</v>
      </c>
      <c r="E28" s="3" t="s">
        <v>27</v>
      </c>
      <c r="F28" s="3" t="s">
        <v>198</v>
      </c>
      <c r="G28" s="3" t="s">
        <v>197</v>
      </c>
      <c r="H28" s="3" t="s">
        <v>80</v>
      </c>
      <c r="I28" s="3" t="s">
        <v>80</v>
      </c>
      <c r="J28" s="3" t="s">
        <v>80</v>
      </c>
      <c r="K28" s="3" t="s">
        <v>81</v>
      </c>
      <c r="L28" s="3" t="s">
        <v>81</v>
      </c>
      <c r="M28" s="3" t="s">
        <v>80</v>
      </c>
      <c r="N28" s="3" t="s">
        <v>80</v>
      </c>
      <c r="O28" s="7" t="s">
        <v>80</v>
      </c>
      <c r="P28" s="3" t="s">
        <v>382</v>
      </c>
      <c r="Q28">
        <v>0.12987000000000001</v>
      </c>
      <c r="R28" s="3">
        <v>1</v>
      </c>
      <c r="S28" s="3">
        <v>3.3376600000000001</v>
      </c>
      <c r="T28" s="3">
        <v>29</v>
      </c>
      <c r="U28" s="3">
        <v>71</v>
      </c>
      <c r="V28" s="3">
        <v>78</v>
      </c>
      <c r="W28" s="3">
        <v>54</v>
      </c>
      <c r="X28" s="3">
        <v>81</v>
      </c>
      <c r="Y28" s="3">
        <v>67</v>
      </c>
      <c r="Z28" s="3">
        <v>-1</v>
      </c>
      <c r="AA28" s="3">
        <v>32</v>
      </c>
      <c r="AB28" s="3">
        <v>39</v>
      </c>
      <c r="AC28" s="3">
        <v>13</v>
      </c>
      <c r="AD28" s="3">
        <v>37</v>
      </c>
      <c r="AE28" s="3">
        <v>32</v>
      </c>
      <c r="AF28" s="3">
        <v>63</v>
      </c>
      <c r="AG28" s="3">
        <v>110</v>
      </c>
      <c r="AH28" s="3">
        <v>119</v>
      </c>
      <c r="AI28" s="3">
        <v>97</v>
      </c>
      <c r="AJ28" s="3">
        <v>125</v>
      </c>
      <c r="AK28" s="3">
        <v>103</v>
      </c>
      <c r="AL28" s="3">
        <v>614</v>
      </c>
      <c r="AM28" s="3">
        <v>614</v>
      </c>
      <c r="AN28" s="3">
        <v>442</v>
      </c>
      <c r="AO28" s="3">
        <v>555</v>
      </c>
      <c r="AP28" s="3">
        <v>513</v>
      </c>
      <c r="AQ28" s="3">
        <v>614</v>
      </c>
      <c r="AR28" s="3">
        <v>163</v>
      </c>
      <c r="AS28" s="3">
        <v>708</v>
      </c>
      <c r="AT28" s="3">
        <v>748</v>
      </c>
      <c r="AU28" s="3">
        <v>589</v>
      </c>
      <c r="AV28" s="3">
        <v>789</v>
      </c>
      <c r="AW28" s="3">
        <v>636</v>
      </c>
      <c r="AX28" s="3">
        <v>725</v>
      </c>
      <c r="AY28" s="3">
        <v>382</v>
      </c>
      <c r="AZ28" s="3">
        <v>-364</v>
      </c>
      <c r="BA28" s="3">
        <v>31</v>
      </c>
      <c r="BB28" s="3">
        <v>-2</v>
      </c>
      <c r="BC28" s="3">
        <v>556</v>
      </c>
      <c r="BD28" s="3">
        <v>3301</v>
      </c>
      <c r="BE28" s="3">
        <v>1155</v>
      </c>
      <c r="BF28" s="3">
        <v>1867</v>
      </c>
      <c r="BG28" s="3">
        <v>2367</v>
      </c>
      <c r="BH28" s="3">
        <v>3576</v>
      </c>
      <c r="BI28" s="3">
        <v>2683</v>
      </c>
      <c r="BJ28" s="3">
        <v>0</v>
      </c>
      <c r="BK28" s="3">
        <v>239.03623999999999</v>
      </c>
      <c r="BL28" s="3">
        <v>1163</v>
      </c>
      <c r="BM28" s="3">
        <v>0.17689029000000001</v>
      </c>
      <c r="BN28" s="3">
        <v>0.18285794</v>
      </c>
      <c r="BO28" s="3">
        <v>0.77392835000000004</v>
      </c>
      <c r="BP28" s="3">
        <v>0.78719262000000001</v>
      </c>
      <c r="BQ28" s="3">
        <v>777.555249</v>
      </c>
      <c r="BR28" s="3">
        <v>204.54492200000001</v>
      </c>
      <c r="BS28" s="3">
        <v>71.092037599999998</v>
      </c>
      <c r="BT28" s="3">
        <v>603.78176900000005</v>
      </c>
      <c r="BU28" s="3">
        <v>86.222531900000007</v>
      </c>
      <c r="BV28" s="3">
        <v>220.221217</v>
      </c>
      <c r="BW28" s="3">
        <v>850.38795100000004</v>
      </c>
      <c r="BX28" s="3" t="s">
        <v>383</v>
      </c>
      <c r="BY28" s="3">
        <v>87.5</v>
      </c>
      <c r="BZ28" s="3">
        <v>578.68442500000003</v>
      </c>
      <c r="CA28">
        <v>119.8470066377335</v>
      </c>
    </row>
    <row r="29" spans="1:79" x14ac:dyDescent="0.25">
      <c r="A29" s="3" t="s">
        <v>199</v>
      </c>
      <c r="B29" s="4">
        <v>694420.11</v>
      </c>
      <c r="C29" s="4">
        <v>6385845.7699999996</v>
      </c>
      <c r="D29" s="3" t="s">
        <v>49</v>
      </c>
      <c r="E29" s="3" t="s">
        <v>27</v>
      </c>
      <c r="F29" s="3" t="s">
        <v>50</v>
      </c>
      <c r="G29" s="3" t="s">
        <v>50</v>
      </c>
      <c r="H29" s="3" t="s">
        <v>80</v>
      </c>
      <c r="I29" s="3" t="s">
        <v>80</v>
      </c>
      <c r="J29" s="3" t="s">
        <v>80</v>
      </c>
      <c r="K29" s="3" t="s">
        <v>80</v>
      </c>
      <c r="L29" s="3" t="s">
        <v>81</v>
      </c>
      <c r="M29" s="3" t="s">
        <v>81</v>
      </c>
      <c r="N29" s="3" t="s">
        <v>80</v>
      </c>
      <c r="O29" s="7" t="s">
        <v>80</v>
      </c>
      <c r="Q29">
        <v>0.12987000000000001</v>
      </c>
      <c r="R29" s="3">
        <v>1</v>
      </c>
      <c r="S29" s="3">
        <v>3.3376600000000001</v>
      </c>
      <c r="T29" s="3">
        <v>38</v>
      </c>
      <c r="U29" s="3">
        <v>83</v>
      </c>
      <c r="V29" s="3">
        <v>89</v>
      </c>
      <c r="W29" s="3">
        <v>66</v>
      </c>
      <c r="X29" s="3">
        <v>91</v>
      </c>
      <c r="Y29" s="3">
        <v>79</v>
      </c>
      <c r="Z29" s="3">
        <v>8</v>
      </c>
      <c r="AA29" s="3">
        <v>43</v>
      </c>
      <c r="AB29" s="3">
        <v>50</v>
      </c>
      <c r="AC29" s="3">
        <v>25</v>
      </c>
      <c r="AD29" s="3">
        <v>48</v>
      </c>
      <c r="AE29" s="3">
        <v>43</v>
      </c>
      <c r="AF29" s="3">
        <v>70</v>
      </c>
      <c r="AG29" s="3">
        <v>125</v>
      </c>
      <c r="AH29" s="3">
        <v>134</v>
      </c>
      <c r="AI29" s="3">
        <v>111</v>
      </c>
      <c r="AJ29" s="3">
        <v>137</v>
      </c>
      <c r="AK29" s="3">
        <v>117</v>
      </c>
      <c r="AL29" s="3">
        <v>659</v>
      </c>
      <c r="AM29" s="3">
        <v>659</v>
      </c>
      <c r="AN29" s="3">
        <v>446</v>
      </c>
      <c r="AO29" s="3">
        <v>535</v>
      </c>
      <c r="AP29" s="3">
        <v>551</v>
      </c>
      <c r="AQ29" s="3">
        <v>659</v>
      </c>
      <c r="AR29" s="3">
        <v>194</v>
      </c>
      <c r="AS29" s="3">
        <v>769</v>
      </c>
      <c r="AT29" s="3">
        <v>800</v>
      </c>
      <c r="AU29" s="3">
        <v>661</v>
      </c>
      <c r="AV29" s="3">
        <v>833</v>
      </c>
      <c r="AW29" s="3">
        <v>699</v>
      </c>
      <c r="AX29" s="3">
        <v>711</v>
      </c>
      <c r="AY29" s="3">
        <v>370</v>
      </c>
      <c r="AZ29" s="3">
        <v>-415</v>
      </c>
      <c r="BA29" s="3">
        <v>-36</v>
      </c>
      <c r="BB29" s="3">
        <v>-48</v>
      </c>
      <c r="BC29" s="3">
        <v>476</v>
      </c>
      <c r="BD29" s="3">
        <v>3439</v>
      </c>
      <c r="BE29" s="3">
        <v>1161</v>
      </c>
      <c r="BF29" s="3">
        <v>1876</v>
      </c>
      <c r="BG29" s="3">
        <v>2364</v>
      </c>
      <c r="BH29" s="3">
        <v>3523</v>
      </c>
      <c r="BI29" s="3">
        <v>2725</v>
      </c>
      <c r="BJ29" s="3">
        <v>0</v>
      </c>
      <c r="BK29" s="3">
        <v>270</v>
      </c>
      <c r="BL29" s="3">
        <v>965</v>
      </c>
      <c r="BM29" s="3">
        <v>0.11407995</v>
      </c>
      <c r="BN29" s="3">
        <v>9.4729880000000002E-2</v>
      </c>
      <c r="BO29" s="3">
        <v>0.92280549000000001</v>
      </c>
      <c r="BP29" s="3">
        <v>0.87726548999999998</v>
      </c>
      <c r="BQ29" s="3">
        <v>267.1454</v>
      </c>
      <c r="BR29" s="3">
        <v>238.715339</v>
      </c>
      <c r="BS29" s="3">
        <v>1131.50512</v>
      </c>
      <c r="BT29" s="3">
        <v>127.96150299999999</v>
      </c>
      <c r="BU29" s="3">
        <v>235.73353</v>
      </c>
      <c r="BV29" s="3">
        <v>123.493145</v>
      </c>
      <c r="BW29" s="3">
        <v>6442.47433</v>
      </c>
      <c r="BX29" s="3" t="s">
        <v>377</v>
      </c>
      <c r="BY29" s="3">
        <v>81.176019996774698</v>
      </c>
      <c r="BZ29" s="3">
        <v>1282.5770299999999</v>
      </c>
      <c r="CA29">
        <v>112.7915998648637</v>
      </c>
    </row>
    <row r="30" spans="1:79" x14ac:dyDescent="0.25">
      <c r="A30" s="3" t="s">
        <v>200</v>
      </c>
      <c r="B30" s="4">
        <v>693857</v>
      </c>
      <c r="C30" s="4">
        <v>6390444</v>
      </c>
      <c r="D30" s="3" t="s">
        <v>51</v>
      </c>
      <c r="E30" s="3" t="s">
        <v>27</v>
      </c>
      <c r="G30" s="3" t="s">
        <v>384</v>
      </c>
      <c r="H30" s="3" t="s">
        <v>81</v>
      </c>
      <c r="I30" s="3" t="s">
        <v>81</v>
      </c>
      <c r="J30" s="3" t="s">
        <v>81</v>
      </c>
      <c r="K30" s="3" t="s">
        <v>80</v>
      </c>
      <c r="L30" s="3" t="s">
        <v>80</v>
      </c>
      <c r="M30" s="3" t="s">
        <v>80</v>
      </c>
      <c r="N30" s="3" t="s">
        <v>80</v>
      </c>
      <c r="O30" s="7" t="s">
        <v>80</v>
      </c>
      <c r="P30" s="5"/>
      <c r="Q30">
        <v>0.12987000000000001</v>
      </c>
      <c r="R30" s="3">
        <v>1</v>
      </c>
      <c r="S30" s="3">
        <v>3.3376600000000001</v>
      </c>
      <c r="T30" s="3">
        <v>35</v>
      </c>
      <c r="U30" s="3">
        <v>79</v>
      </c>
      <c r="V30" s="3">
        <v>85</v>
      </c>
      <c r="W30" s="3">
        <v>63</v>
      </c>
      <c r="X30" s="3">
        <v>88</v>
      </c>
      <c r="Y30" s="3">
        <v>75</v>
      </c>
      <c r="Z30" s="3">
        <v>0</v>
      </c>
      <c r="AA30" s="3">
        <v>34</v>
      </c>
      <c r="AB30" s="3">
        <v>39</v>
      </c>
      <c r="AC30" s="3">
        <v>17</v>
      </c>
      <c r="AD30" s="3">
        <v>41</v>
      </c>
      <c r="AE30" s="3">
        <v>34</v>
      </c>
      <c r="AF30" s="3">
        <v>73</v>
      </c>
      <c r="AG30" s="3">
        <v>125</v>
      </c>
      <c r="AH30" s="3">
        <v>134</v>
      </c>
      <c r="AI30" s="3">
        <v>112</v>
      </c>
      <c r="AJ30" s="3">
        <v>141</v>
      </c>
      <c r="AK30" s="3">
        <v>118</v>
      </c>
      <c r="AL30" s="3">
        <v>728</v>
      </c>
      <c r="AM30" s="3">
        <v>728</v>
      </c>
      <c r="AN30" s="3">
        <v>533</v>
      </c>
      <c r="AO30" s="3">
        <v>636</v>
      </c>
      <c r="AP30" s="3">
        <v>622</v>
      </c>
      <c r="AQ30" s="3">
        <v>728</v>
      </c>
      <c r="AR30" s="3">
        <v>181</v>
      </c>
      <c r="AS30" s="3">
        <v>742</v>
      </c>
      <c r="AT30" s="3">
        <v>779</v>
      </c>
      <c r="AU30" s="3">
        <v>638</v>
      </c>
      <c r="AV30" s="3">
        <v>809</v>
      </c>
      <c r="AW30" s="3">
        <v>674</v>
      </c>
      <c r="AX30" s="3">
        <v>730</v>
      </c>
      <c r="AY30" s="3">
        <v>373</v>
      </c>
      <c r="AZ30" s="3">
        <v>-383</v>
      </c>
      <c r="BA30" s="3">
        <v>-7</v>
      </c>
      <c r="BB30" s="3">
        <v>-7</v>
      </c>
      <c r="BC30" s="3">
        <v>531</v>
      </c>
      <c r="BD30" s="3">
        <v>3328</v>
      </c>
      <c r="BE30" s="3">
        <v>1185</v>
      </c>
      <c r="BF30" s="3">
        <v>1889</v>
      </c>
      <c r="BG30" s="3">
        <v>2405</v>
      </c>
      <c r="BH30" s="3">
        <v>3623</v>
      </c>
      <c r="BI30" s="3">
        <v>2724</v>
      </c>
      <c r="BJ30" s="3">
        <v>0</v>
      </c>
      <c r="BK30" s="3">
        <v>300.96375</v>
      </c>
      <c r="BL30" s="3">
        <v>1069</v>
      </c>
      <c r="BM30" s="3">
        <v>0.40837076999999999</v>
      </c>
      <c r="BN30" s="3">
        <v>0.34963074</v>
      </c>
      <c r="BO30" s="3">
        <v>0.59216449999999998</v>
      </c>
      <c r="BP30" s="3">
        <v>0.65035383000000002</v>
      </c>
      <c r="BQ30" s="3">
        <v>974.69554200000005</v>
      </c>
      <c r="BR30" s="3">
        <v>246.02634</v>
      </c>
      <c r="BS30" s="3">
        <v>2185.7769800000001</v>
      </c>
      <c r="BT30" s="3">
        <v>249.75269800000001</v>
      </c>
      <c r="BU30" s="3">
        <v>167.27023</v>
      </c>
      <c r="BV30" s="3">
        <v>161.945526</v>
      </c>
      <c r="BW30" s="3">
        <v>1420.34961</v>
      </c>
      <c r="BX30" s="3" t="s">
        <v>385</v>
      </c>
      <c r="BY30" s="3">
        <v>22.875</v>
      </c>
      <c r="BZ30" s="3">
        <v>106.90192399999999</v>
      </c>
      <c r="CA30">
        <v>26.792536274080739</v>
      </c>
    </row>
    <row r="31" spans="1:79" x14ac:dyDescent="0.25">
      <c r="A31" s="3" t="s">
        <v>201</v>
      </c>
      <c r="B31" s="4">
        <v>694072.18</v>
      </c>
      <c r="C31" s="4">
        <v>6390128.0199999996</v>
      </c>
      <c r="D31" s="3" t="s">
        <v>51</v>
      </c>
      <c r="E31" s="3" t="s">
        <v>27</v>
      </c>
      <c r="G31" s="3" t="s">
        <v>384</v>
      </c>
      <c r="H31" s="3" t="s">
        <v>80</v>
      </c>
      <c r="I31" s="3" t="s">
        <v>80</v>
      </c>
      <c r="J31" s="3" t="s">
        <v>80</v>
      </c>
      <c r="K31" s="3" t="s">
        <v>81</v>
      </c>
      <c r="L31" s="3" t="s">
        <v>80</v>
      </c>
      <c r="M31" s="3" t="s">
        <v>80</v>
      </c>
      <c r="N31" s="3" t="s">
        <v>80</v>
      </c>
      <c r="O31" s="7" t="s">
        <v>81</v>
      </c>
      <c r="Q31">
        <v>0.12987000000000001</v>
      </c>
      <c r="R31" s="3">
        <v>1</v>
      </c>
      <c r="S31" s="3">
        <v>3.3376600000000001</v>
      </c>
      <c r="T31" s="3">
        <v>35</v>
      </c>
      <c r="U31" s="3">
        <v>79</v>
      </c>
      <c r="V31" s="3">
        <v>85</v>
      </c>
      <c r="W31" s="3">
        <v>63</v>
      </c>
      <c r="X31" s="3">
        <v>88</v>
      </c>
      <c r="Y31" s="3">
        <v>75</v>
      </c>
      <c r="Z31" s="3">
        <v>0</v>
      </c>
      <c r="AA31" s="3">
        <v>34</v>
      </c>
      <c r="AB31" s="3">
        <v>39</v>
      </c>
      <c r="AC31" s="3">
        <v>17</v>
      </c>
      <c r="AD31" s="3">
        <v>41</v>
      </c>
      <c r="AE31" s="3">
        <v>34</v>
      </c>
      <c r="AF31" s="3">
        <v>73</v>
      </c>
      <c r="AG31" s="3">
        <v>125</v>
      </c>
      <c r="AH31" s="3">
        <v>134</v>
      </c>
      <c r="AI31" s="3">
        <v>112</v>
      </c>
      <c r="AJ31" s="3">
        <v>141</v>
      </c>
      <c r="AK31" s="3">
        <v>118</v>
      </c>
      <c r="AL31" s="3">
        <v>728</v>
      </c>
      <c r="AM31" s="3">
        <v>728</v>
      </c>
      <c r="AN31" s="3">
        <v>533</v>
      </c>
      <c r="AO31" s="3">
        <v>636</v>
      </c>
      <c r="AP31" s="3">
        <v>622</v>
      </c>
      <c r="AQ31" s="3">
        <v>728</v>
      </c>
      <c r="AR31" s="3">
        <v>181</v>
      </c>
      <c r="AS31" s="3">
        <v>742</v>
      </c>
      <c r="AT31" s="3">
        <v>779</v>
      </c>
      <c r="AU31" s="3">
        <v>638</v>
      </c>
      <c r="AV31" s="3">
        <v>809</v>
      </c>
      <c r="AW31" s="3">
        <v>674</v>
      </c>
      <c r="AX31" s="3">
        <v>730</v>
      </c>
      <c r="AY31" s="3">
        <v>373</v>
      </c>
      <c r="AZ31" s="3">
        <v>-383</v>
      </c>
      <c r="BA31" s="3">
        <v>-7</v>
      </c>
      <c r="BB31" s="3">
        <v>-7</v>
      </c>
      <c r="BC31" s="3">
        <v>531</v>
      </c>
      <c r="BD31" s="3">
        <v>3328</v>
      </c>
      <c r="BE31" s="3">
        <v>1185</v>
      </c>
      <c r="BF31" s="3">
        <v>1889</v>
      </c>
      <c r="BG31" s="3">
        <v>2405</v>
      </c>
      <c r="BH31" s="3">
        <v>3623</v>
      </c>
      <c r="BI31" s="3">
        <v>2724</v>
      </c>
      <c r="BJ31" s="3">
        <v>0</v>
      </c>
      <c r="BK31" s="3">
        <v>165.25644</v>
      </c>
      <c r="BL31" s="3">
        <v>1128</v>
      </c>
      <c r="BN31" s="3">
        <v>8.2979460000000005E-2</v>
      </c>
      <c r="BO31" s="3">
        <v>1</v>
      </c>
      <c r="BP31" s="3">
        <v>0.92226934999999999</v>
      </c>
      <c r="BQ31" s="3">
        <v>596.41040999999996</v>
      </c>
      <c r="BR31" s="3">
        <v>526.49215100000004</v>
      </c>
      <c r="BS31" s="3">
        <v>1806.2371900000001</v>
      </c>
      <c r="BT31" s="3">
        <v>624.55061499999999</v>
      </c>
      <c r="BU31" s="3">
        <v>351.58269100000001</v>
      </c>
      <c r="BW31" s="3">
        <v>161.945526</v>
      </c>
      <c r="BX31" s="3" t="s">
        <v>385</v>
      </c>
      <c r="BY31" s="3">
        <v>22.875</v>
      </c>
      <c r="BZ31" s="3">
        <v>488.23186900000002</v>
      </c>
      <c r="CA31">
        <v>300.75643102044938</v>
      </c>
    </row>
    <row r="32" spans="1:79" x14ac:dyDescent="0.25">
      <c r="A32" s="3" t="s">
        <v>179</v>
      </c>
      <c r="B32" s="4">
        <v>694729.68400000001</v>
      </c>
      <c r="C32" s="4">
        <v>6385232.1909999996</v>
      </c>
      <c r="D32" s="3" t="s">
        <v>52</v>
      </c>
      <c r="E32" s="3" t="s">
        <v>27</v>
      </c>
      <c r="F32" s="3" t="s">
        <v>386</v>
      </c>
      <c r="G32" s="3" t="s">
        <v>53</v>
      </c>
      <c r="H32" s="3" t="s">
        <v>81</v>
      </c>
      <c r="I32" s="3" t="s">
        <v>81</v>
      </c>
      <c r="J32" s="3" t="s">
        <v>81</v>
      </c>
      <c r="K32" s="3" t="s">
        <v>81</v>
      </c>
      <c r="L32" s="3" t="s">
        <v>81</v>
      </c>
      <c r="M32" s="3" t="s">
        <v>81</v>
      </c>
      <c r="N32" s="3" t="s">
        <v>80</v>
      </c>
      <c r="O32" s="7" t="s">
        <v>81</v>
      </c>
      <c r="Q32">
        <v>0.12987000000000001</v>
      </c>
      <c r="R32" s="3">
        <v>1</v>
      </c>
      <c r="S32" s="3">
        <v>3.3376600000000001</v>
      </c>
      <c r="T32" s="3">
        <v>39</v>
      </c>
      <c r="U32" s="3">
        <v>86</v>
      </c>
      <c r="V32" s="3">
        <v>92</v>
      </c>
      <c r="W32" s="3">
        <v>69</v>
      </c>
      <c r="X32" s="3">
        <v>94</v>
      </c>
      <c r="Y32" s="3">
        <v>82</v>
      </c>
      <c r="Z32" s="3">
        <v>9</v>
      </c>
      <c r="AA32" s="3">
        <v>45</v>
      </c>
      <c r="AB32" s="3">
        <v>51</v>
      </c>
      <c r="AC32" s="3">
        <v>26</v>
      </c>
      <c r="AD32" s="3">
        <v>50</v>
      </c>
      <c r="AE32" s="3">
        <v>45</v>
      </c>
      <c r="AF32" s="3">
        <v>74</v>
      </c>
      <c r="AG32" s="3">
        <v>130</v>
      </c>
      <c r="AH32" s="3">
        <v>138</v>
      </c>
      <c r="AI32" s="3">
        <v>116</v>
      </c>
      <c r="AJ32" s="3">
        <v>142</v>
      </c>
      <c r="AK32" s="3">
        <v>123</v>
      </c>
      <c r="AL32" s="3">
        <v>661</v>
      </c>
      <c r="AM32" s="3">
        <v>661</v>
      </c>
      <c r="AN32" s="3">
        <v>428</v>
      </c>
      <c r="AO32" s="3">
        <v>505</v>
      </c>
      <c r="AP32" s="3">
        <v>550</v>
      </c>
      <c r="AQ32" s="3">
        <v>661</v>
      </c>
      <c r="AR32" s="3">
        <v>202</v>
      </c>
      <c r="AS32" s="3">
        <v>787</v>
      </c>
      <c r="AT32" s="3">
        <v>818</v>
      </c>
      <c r="AU32" s="3">
        <v>682</v>
      </c>
      <c r="AV32" s="3">
        <v>848</v>
      </c>
      <c r="AW32" s="3">
        <v>720</v>
      </c>
      <c r="AX32" s="3">
        <v>702</v>
      </c>
      <c r="AY32" s="3">
        <v>359</v>
      </c>
      <c r="AZ32" s="3">
        <v>-433</v>
      </c>
      <c r="BA32" s="3">
        <v>-59</v>
      </c>
      <c r="BB32" s="3">
        <v>-66</v>
      </c>
      <c r="BC32" s="3">
        <v>448</v>
      </c>
      <c r="BD32" s="3">
        <v>3418</v>
      </c>
      <c r="BE32" s="3">
        <v>1147</v>
      </c>
      <c r="BF32" s="3">
        <v>1866</v>
      </c>
      <c r="BG32" s="3">
        <v>2344</v>
      </c>
      <c r="BH32" s="3">
        <v>3511</v>
      </c>
      <c r="BI32" s="3">
        <v>2708</v>
      </c>
      <c r="BJ32" s="3">
        <v>0</v>
      </c>
      <c r="BK32" s="3">
        <v>213.31064000000001</v>
      </c>
      <c r="BL32" s="3">
        <v>958</v>
      </c>
      <c r="BM32" s="3">
        <v>0.22365697000000001</v>
      </c>
      <c r="BN32" s="3">
        <v>0.1490274</v>
      </c>
      <c r="BO32" s="3">
        <v>0.75630516999999997</v>
      </c>
      <c r="BP32" s="3">
        <v>0.79863753000000004</v>
      </c>
      <c r="BQ32" s="3">
        <v>475.44107100000002</v>
      </c>
      <c r="BR32" s="3">
        <v>192.891243</v>
      </c>
      <c r="BS32" s="3">
        <v>1783.7628199999999</v>
      </c>
      <c r="BT32" s="3">
        <v>156.43525700000001</v>
      </c>
      <c r="BU32" s="3">
        <v>178.61686499999999</v>
      </c>
      <c r="BV32" s="3">
        <v>4139.4089000000004</v>
      </c>
      <c r="BW32" s="3">
        <v>8948.2956099999992</v>
      </c>
      <c r="BX32" s="3" t="s">
        <v>377</v>
      </c>
      <c r="BY32" s="3">
        <v>81.176019996774698</v>
      </c>
      <c r="BZ32" s="3">
        <v>752.24597300000005</v>
      </c>
      <c r="CA32">
        <v>56.781928008427919</v>
      </c>
    </row>
    <row r="33" spans="1:79" x14ac:dyDescent="0.25">
      <c r="A33" s="3" t="s">
        <v>203</v>
      </c>
      <c r="B33" s="4">
        <v>693362.96</v>
      </c>
      <c r="C33" s="4">
        <v>6383747.0300000003</v>
      </c>
      <c r="D33" s="3" t="s">
        <v>54</v>
      </c>
      <c r="E33" s="3" t="s">
        <v>27</v>
      </c>
      <c r="F33" s="3" t="s">
        <v>55</v>
      </c>
      <c r="G33" s="3" t="s">
        <v>387</v>
      </c>
      <c r="H33" s="3" t="s">
        <v>81</v>
      </c>
      <c r="I33" s="3" t="s">
        <v>80</v>
      </c>
      <c r="J33" s="3" t="s">
        <v>81</v>
      </c>
      <c r="K33" s="3" t="s">
        <v>81</v>
      </c>
      <c r="L33" s="3" t="s">
        <v>81</v>
      </c>
      <c r="M33" s="3" t="s">
        <v>81</v>
      </c>
      <c r="N33" s="3" t="s">
        <v>81</v>
      </c>
      <c r="O33" s="7" t="s">
        <v>81</v>
      </c>
      <c r="Q33">
        <v>0.12987000000000001</v>
      </c>
      <c r="R33" s="3">
        <v>1</v>
      </c>
      <c r="S33" s="3">
        <v>3.3376600000000001</v>
      </c>
      <c r="T33" s="3">
        <v>43</v>
      </c>
      <c r="U33" s="3">
        <v>91</v>
      </c>
      <c r="V33" s="3">
        <v>97</v>
      </c>
      <c r="W33" s="3">
        <v>74</v>
      </c>
      <c r="X33" s="3">
        <v>99</v>
      </c>
      <c r="Y33" s="3">
        <v>87</v>
      </c>
      <c r="Z33" s="3">
        <v>8</v>
      </c>
      <c r="AA33" s="3">
        <v>46</v>
      </c>
      <c r="AB33" s="3">
        <v>51</v>
      </c>
      <c r="AC33" s="3">
        <v>28</v>
      </c>
      <c r="AD33" s="3">
        <v>52</v>
      </c>
      <c r="AE33" s="3">
        <v>46</v>
      </c>
      <c r="AF33" s="3">
        <v>79</v>
      </c>
      <c r="AG33" s="3">
        <v>140</v>
      </c>
      <c r="AH33" s="3">
        <v>148</v>
      </c>
      <c r="AI33" s="3">
        <v>125</v>
      </c>
      <c r="AJ33" s="3">
        <v>150</v>
      </c>
      <c r="AK33" s="3">
        <v>132</v>
      </c>
      <c r="AL33" s="3">
        <v>591</v>
      </c>
      <c r="AM33" s="3">
        <v>591</v>
      </c>
      <c r="AN33" s="3">
        <v>360</v>
      </c>
      <c r="AO33" s="3">
        <v>413</v>
      </c>
      <c r="AP33" s="3">
        <v>478</v>
      </c>
      <c r="AQ33" s="3">
        <v>591</v>
      </c>
      <c r="AR33" s="3">
        <v>216</v>
      </c>
      <c r="AS33" s="3">
        <v>806</v>
      </c>
      <c r="AT33" s="3">
        <v>830</v>
      </c>
      <c r="AU33" s="3">
        <v>708</v>
      </c>
      <c r="AV33" s="3">
        <v>862</v>
      </c>
      <c r="AW33" s="3">
        <v>735</v>
      </c>
      <c r="AX33" s="3">
        <v>693</v>
      </c>
      <c r="AY33" s="3">
        <v>356</v>
      </c>
      <c r="AZ33" s="3">
        <v>-443</v>
      </c>
      <c r="BA33" s="3">
        <v>-82</v>
      </c>
      <c r="BB33" s="3">
        <v>-76</v>
      </c>
      <c r="BC33" s="3">
        <v>430</v>
      </c>
      <c r="BD33" s="3">
        <v>3515</v>
      </c>
      <c r="BE33" s="3">
        <v>1167</v>
      </c>
      <c r="BF33" s="3">
        <v>1883</v>
      </c>
      <c r="BG33" s="3">
        <v>2365</v>
      </c>
      <c r="BH33" s="3">
        <v>3500</v>
      </c>
      <c r="BI33" s="3">
        <v>2745</v>
      </c>
      <c r="BJ33" s="3">
        <v>0</v>
      </c>
      <c r="BK33" s="3">
        <v>261.86989999999997</v>
      </c>
      <c r="BL33" s="3">
        <v>893</v>
      </c>
      <c r="BM33" s="3">
        <v>0.15096925999999999</v>
      </c>
      <c r="BN33" s="3">
        <v>0.36689186000000001</v>
      </c>
      <c r="BO33" s="3">
        <v>0.84653803999999999</v>
      </c>
      <c r="BP33" s="3">
        <v>0.59402496000000005</v>
      </c>
      <c r="BQ33" s="3">
        <v>2396.07494</v>
      </c>
      <c r="BR33" s="3">
        <v>26.112389499999999</v>
      </c>
      <c r="BS33" s="3">
        <v>2189.7449700000002</v>
      </c>
      <c r="BT33" s="3">
        <v>346.800681</v>
      </c>
      <c r="BU33" s="3">
        <v>227.79982999999999</v>
      </c>
      <c r="BV33" s="3">
        <v>492.90961199999998</v>
      </c>
      <c r="BW33" s="3">
        <v>6833.8493099999996</v>
      </c>
      <c r="BX33" s="3" t="s">
        <v>388</v>
      </c>
      <c r="BY33" s="3">
        <v>12.038461538461499</v>
      </c>
      <c r="BZ33" s="3">
        <v>284.09364099999999</v>
      </c>
      <c r="CA33">
        <v>149.2200204399949</v>
      </c>
    </row>
    <row r="34" spans="1:79" x14ac:dyDescent="0.25">
      <c r="A34" s="3" t="s">
        <v>204</v>
      </c>
      <c r="B34" s="4">
        <v>693927.25</v>
      </c>
      <c r="C34" s="4">
        <v>6384295.7400000002</v>
      </c>
      <c r="D34" s="3" t="s">
        <v>54</v>
      </c>
      <c r="E34" s="3" t="s">
        <v>27</v>
      </c>
      <c r="F34" s="3" t="s">
        <v>56</v>
      </c>
      <c r="G34" s="3" t="s">
        <v>57</v>
      </c>
      <c r="H34" s="3" t="s">
        <v>81</v>
      </c>
      <c r="I34" s="3" t="s">
        <v>81</v>
      </c>
      <c r="J34" s="3" t="s">
        <v>80</v>
      </c>
      <c r="K34" s="3" t="s">
        <v>80</v>
      </c>
      <c r="L34" s="3" t="s">
        <v>80</v>
      </c>
      <c r="M34" s="6" t="s">
        <v>80</v>
      </c>
      <c r="N34" s="3" t="s">
        <v>80</v>
      </c>
      <c r="O34" s="7" t="s">
        <v>80</v>
      </c>
      <c r="Q34">
        <v>0.12987000000000001</v>
      </c>
      <c r="R34" s="3">
        <v>1</v>
      </c>
      <c r="S34" s="3">
        <v>3.3376600000000001</v>
      </c>
      <c r="T34" s="3">
        <v>43</v>
      </c>
      <c r="U34" s="3">
        <v>91</v>
      </c>
      <c r="V34" s="3">
        <v>97</v>
      </c>
      <c r="W34" s="3">
        <v>74</v>
      </c>
      <c r="X34" s="3">
        <v>99</v>
      </c>
      <c r="Y34" s="3">
        <v>87</v>
      </c>
      <c r="Z34" s="3">
        <v>8</v>
      </c>
      <c r="AA34" s="3">
        <v>46</v>
      </c>
      <c r="AB34" s="3">
        <v>51</v>
      </c>
      <c r="AC34" s="3">
        <v>28</v>
      </c>
      <c r="AD34" s="3">
        <v>52</v>
      </c>
      <c r="AE34" s="3">
        <v>46</v>
      </c>
      <c r="AF34" s="3">
        <v>79</v>
      </c>
      <c r="AG34" s="3">
        <v>140</v>
      </c>
      <c r="AH34" s="3">
        <v>148</v>
      </c>
      <c r="AI34" s="3">
        <v>125</v>
      </c>
      <c r="AJ34" s="3">
        <v>150</v>
      </c>
      <c r="AK34" s="3">
        <v>132</v>
      </c>
      <c r="AL34" s="3">
        <v>591</v>
      </c>
      <c r="AM34" s="3">
        <v>591</v>
      </c>
      <c r="AN34" s="3">
        <v>360</v>
      </c>
      <c r="AO34" s="3">
        <v>413</v>
      </c>
      <c r="AP34" s="3">
        <v>478</v>
      </c>
      <c r="AQ34" s="3">
        <v>591</v>
      </c>
      <c r="AR34" s="3">
        <v>216</v>
      </c>
      <c r="AS34" s="3">
        <v>806</v>
      </c>
      <c r="AT34" s="3">
        <v>830</v>
      </c>
      <c r="AU34" s="3">
        <v>708</v>
      </c>
      <c r="AV34" s="3">
        <v>862</v>
      </c>
      <c r="AW34" s="3">
        <v>735</v>
      </c>
      <c r="AX34" s="3">
        <v>693</v>
      </c>
      <c r="AY34" s="3">
        <v>356</v>
      </c>
      <c r="AZ34" s="3">
        <v>-443</v>
      </c>
      <c r="BA34" s="3">
        <v>-82</v>
      </c>
      <c r="BB34" s="3">
        <v>-76</v>
      </c>
      <c r="BC34" s="3">
        <v>430</v>
      </c>
      <c r="BD34" s="3">
        <v>3470</v>
      </c>
      <c r="BE34" s="3">
        <v>1156</v>
      </c>
      <c r="BF34" s="3">
        <v>1874</v>
      </c>
      <c r="BG34" s="3">
        <v>2355</v>
      </c>
      <c r="BH34" s="3">
        <v>3506</v>
      </c>
      <c r="BI34" s="3">
        <v>2726</v>
      </c>
      <c r="BJ34" s="3">
        <v>0</v>
      </c>
      <c r="BK34" s="3">
        <v>177.75425999999999</v>
      </c>
      <c r="BL34" s="3">
        <v>884</v>
      </c>
      <c r="BM34" s="3">
        <v>0.34101051999999998</v>
      </c>
      <c r="BN34" s="3">
        <v>0.40605959000000003</v>
      </c>
      <c r="BO34" s="3">
        <v>0.46650315999999997</v>
      </c>
      <c r="BP34" s="3">
        <v>0.52676871999999997</v>
      </c>
      <c r="BQ34" s="3">
        <v>1631.3035400000001</v>
      </c>
      <c r="BR34" s="3">
        <v>301.20544799999999</v>
      </c>
      <c r="BS34" s="3">
        <v>2185.6217700000002</v>
      </c>
      <c r="BT34" s="3">
        <v>173.967905</v>
      </c>
      <c r="BU34" s="3">
        <v>474.11001099999999</v>
      </c>
      <c r="BW34" s="3">
        <v>703.07739500000002</v>
      </c>
      <c r="BX34" s="3" t="s">
        <v>389</v>
      </c>
      <c r="BY34" s="3">
        <v>56.988407224958898</v>
      </c>
      <c r="BZ34" s="3">
        <v>207.823801</v>
      </c>
      <c r="CA34">
        <v>31.380728162316458</v>
      </c>
    </row>
    <row r="35" spans="1:79" ht="15.75" customHeight="1" x14ac:dyDescent="0.25">
      <c r="A35" s="3" t="s">
        <v>205</v>
      </c>
      <c r="B35" s="4">
        <v>694022</v>
      </c>
      <c r="C35" s="4">
        <v>6384391</v>
      </c>
      <c r="D35" s="3" t="s">
        <v>54</v>
      </c>
      <c r="E35" s="3" t="s">
        <v>27</v>
      </c>
      <c r="F35" s="3" t="s">
        <v>56</v>
      </c>
      <c r="G35" s="3" t="s">
        <v>57</v>
      </c>
      <c r="H35" s="3" t="s">
        <v>80</v>
      </c>
      <c r="I35" s="3" t="s">
        <v>80</v>
      </c>
      <c r="J35" s="3" t="s">
        <v>81</v>
      </c>
      <c r="K35" s="3" t="s">
        <v>81</v>
      </c>
      <c r="L35" s="3" t="s">
        <v>81</v>
      </c>
      <c r="M35" s="3" t="s">
        <v>81</v>
      </c>
      <c r="N35" s="3" t="s">
        <v>81</v>
      </c>
      <c r="O35" s="7" t="s">
        <v>81</v>
      </c>
      <c r="Q35">
        <v>0.12987000000000001</v>
      </c>
      <c r="R35" s="3">
        <v>1</v>
      </c>
      <c r="S35" s="3">
        <v>3.3376600000000001</v>
      </c>
      <c r="T35" s="3">
        <v>43</v>
      </c>
      <c r="U35" s="3">
        <v>91</v>
      </c>
      <c r="V35" s="3">
        <v>97</v>
      </c>
      <c r="W35" s="3">
        <v>74</v>
      </c>
      <c r="X35" s="3">
        <v>99</v>
      </c>
      <c r="Y35" s="3">
        <v>87</v>
      </c>
      <c r="Z35" s="3">
        <v>8</v>
      </c>
      <c r="AA35" s="3">
        <v>46</v>
      </c>
      <c r="AB35" s="3">
        <v>51</v>
      </c>
      <c r="AC35" s="3">
        <v>28</v>
      </c>
      <c r="AD35" s="3">
        <v>52</v>
      </c>
      <c r="AE35" s="3">
        <v>46</v>
      </c>
      <c r="AF35" s="3">
        <v>79</v>
      </c>
      <c r="AG35" s="3">
        <v>140</v>
      </c>
      <c r="AH35" s="3">
        <v>148</v>
      </c>
      <c r="AI35" s="3">
        <v>125</v>
      </c>
      <c r="AJ35" s="3">
        <v>150</v>
      </c>
      <c r="AK35" s="3">
        <v>132</v>
      </c>
      <c r="AL35" s="3">
        <v>591</v>
      </c>
      <c r="AM35" s="3">
        <v>591</v>
      </c>
      <c r="AN35" s="3">
        <v>360</v>
      </c>
      <c r="AO35" s="3">
        <v>413</v>
      </c>
      <c r="AP35" s="3">
        <v>478</v>
      </c>
      <c r="AQ35" s="3">
        <v>591</v>
      </c>
      <c r="AR35" s="3">
        <v>216</v>
      </c>
      <c r="AS35" s="3">
        <v>806</v>
      </c>
      <c r="AT35" s="3">
        <v>830</v>
      </c>
      <c r="AU35" s="3">
        <v>708</v>
      </c>
      <c r="AV35" s="3">
        <v>862</v>
      </c>
      <c r="AW35" s="3">
        <v>735</v>
      </c>
      <c r="AX35" s="3">
        <v>693</v>
      </c>
      <c r="AY35" s="3">
        <v>356</v>
      </c>
      <c r="AZ35" s="3">
        <v>-443</v>
      </c>
      <c r="BA35" s="3">
        <v>-82</v>
      </c>
      <c r="BB35" s="3">
        <v>-76</v>
      </c>
      <c r="BC35" s="3">
        <v>430</v>
      </c>
      <c r="BD35" s="3">
        <v>3470</v>
      </c>
      <c r="BE35" s="3">
        <v>1156</v>
      </c>
      <c r="BF35" s="3">
        <v>1874</v>
      </c>
      <c r="BG35" s="3">
        <v>2355</v>
      </c>
      <c r="BH35" s="3">
        <v>3506</v>
      </c>
      <c r="BI35" s="3">
        <v>2726</v>
      </c>
      <c r="BJ35" s="3">
        <v>0</v>
      </c>
      <c r="BK35" s="3">
        <v>164.74486999999999</v>
      </c>
      <c r="BL35" s="3">
        <v>913</v>
      </c>
      <c r="BM35" s="3">
        <v>0.29539008999999999</v>
      </c>
      <c r="BN35" s="3">
        <v>0.40426812000000001</v>
      </c>
      <c r="BO35" s="3">
        <v>0.60142777999999997</v>
      </c>
      <c r="BP35" s="3">
        <v>0.53798226999999998</v>
      </c>
      <c r="BQ35" s="3">
        <v>1502.1883399999999</v>
      </c>
      <c r="BR35" s="3">
        <v>267.084205</v>
      </c>
      <c r="BS35" s="3">
        <v>2185.27315</v>
      </c>
      <c r="BT35" s="3">
        <v>238.034493</v>
      </c>
      <c r="BU35" s="3">
        <v>494.96570600000001</v>
      </c>
      <c r="BW35" s="3">
        <v>7.4334119300000001</v>
      </c>
      <c r="BX35" s="3" t="s">
        <v>389</v>
      </c>
      <c r="BY35" s="3">
        <v>56.988407224958898</v>
      </c>
      <c r="BZ35" s="3">
        <v>153.43040300000001</v>
      </c>
      <c r="CA35">
        <v>43.845638323730093</v>
      </c>
    </row>
    <row r="36" spans="1:79" x14ac:dyDescent="0.25">
      <c r="A36" s="3" t="s">
        <v>208</v>
      </c>
      <c r="B36" s="4">
        <v>698217.18</v>
      </c>
      <c r="C36" s="4">
        <v>6385796.6699999999</v>
      </c>
      <c r="D36" s="3" t="s">
        <v>54</v>
      </c>
      <c r="E36" s="3" t="s">
        <v>21</v>
      </c>
      <c r="F36" s="3" t="s">
        <v>58</v>
      </c>
      <c r="G36" s="3" t="s">
        <v>58</v>
      </c>
      <c r="H36" s="3" t="s">
        <v>80</v>
      </c>
      <c r="I36" s="3" t="s">
        <v>80</v>
      </c>
      <c r="J36" s="3" t="s">
        <v>80</v>
      </c>
      <c r="K36" s="3" t="s">
        <v>81</v>
      </c>
      <c r="L36" s="3" t="s">
        <v>81</v>
      </c>
      <c r="M36" s="3" t="s">
        <v>81</v>
      </c>
      <c r="N36" s="3" t="s">
        <v>81</v>
      </c>
      <c r="O36" s="7" t="s">
        <v>81</v>
      </c>
      <c r="Q36">
        <v>0.12987000000000001</v>
      </c>
      <c r="R36" s="3">
        <v>1</v>
      </c>
      <c r="S36" s="3">
        <v>3.3376600000000001</v>
      </c>
      <c r="T36" s="3">
        <v>36</v>
      </c>
      <c r="U36" s="3">
        <v>81</v>
      </c>
      <c r="V36" s="3">
        <v>87</v>
      </c>
      <c r="W36" s="3">
        <v>65</v>
      </c>
      <c r="X36" s="3">
        <v>92</v>
      </c>
      <c r="Y36" s="3">
        <v>78</v>
      </c>
      <c r="Z36" s="3">
        <v>-8</v>
      </c>
      <c r="AA36" s="3">
        <v>28</v>
      </c>
      <c r="AB36" s="3">
        <v>32</v>
      </c>
      <c r="AC36" s="3">
        <v>10</v>
      </c>
      <c r="AD36" s="3">
        <v>34</v>
      </c>
      <c r="AE36" s="3">
        <v>30</v>
      </c>
      <c r="AF36" s="3">
        <v>77</v>
      </c>
      <c r="AG36" s="3">
        <v>131</v>
      </c>
      <c r="AH36" s="3">
        <v>139</v>
      </c>
      <c r="AI36" s="3">
        <v>117</v>
      </c>
      <c r="AJ36" s="3">
        <v>146</v>
      </c>
      <c r="AK36" s="3">
        <v>123</v>
      </c>
      <c r="AL36" s="3">
        <v>609</v>
      </c>
      <c r="AM36" s="3">
        <v>609</v>
      </c>
      <c r="AN36" s="3">
        <v>388</v>
      </c>
      <c r="AO36" s="3">
        <v>482</v>
      </c>
      <c r="AP36" s="3">
        <v>501</v>
      </c>
      <c r="AQ36" s="3">
        <v>609</v>
      </c>
      <c r="AR36" s="3">
        <v>187</v>
      </c>
      <c r="AS36" s="3">
        <v>756</v>
      </c>
      <c r="AT36" s="3">
        <v>788</v>
      </c>
      <c r="AU36" s="3">
        <v>654</v>
      </c>
      <c r="AV36" s="3">
        <v>825</v>
      </c>
      <c r="AW36" s="3">
        <v>691</v>
      </c>
      <c r="AX36" s="3">
        <v>693</v>
      </c>
      <c r="AY36" s="3">
        <v>345</v>
      </c>
      <c r="AZ36" s="3">
        <v>-419</v>
      </c>
      <c r="BA36" s="3">
        <v>-41</v>
      </c>
      <c r="BB36" s="3">
        <v>-62</v>
      </c>
      <c r="BC36" s="3">
        <v>466</v>
      </c>
      <c r="BD36" s="3">
        <v>3338</v>
      </c>
      <c r="BE36" s="3">
        <v>1111</v>
      </c>
      <c r="BF36" s="3">
        <v>1840</v>
      </c>
      <c r="BG36" s="3">
        <v>2293</v>
      </c>
      <c r="BH36" s="3">
        <v>3467</v>
      </c>
      <c r="BI36" s="3">
        <v>2654</v>
      </c>
      <c r="BJ36" s="3">
        <v>0</v>
      </c>
      <c r="BK36" s="3">
        <v>136.78992</v>
      </c>
      <c r="BL36" s="3">
        <v>994</v>
      </c>
      <c r="BM36" s="3">
        <v>0.66148801000000002</v>
      </c>
      <c r="BN36" s="3">
        <v>0.86517396000000002</v>
      </c>
      <c r="BO36" s="3">
        <v>0.4031981</v>
      </c>
      <c r="BP36" s="3">
        <v>0.23701267000000001</v>
      </c>
      <c r="BQ36" s="3">
        <v>147.66283200000001</v>
      </c>
      <c r="BR36" s="3">
        <v>193.78571600000001</v>
      </c>
      <c r="BS36" s="3">
        <v>3878.69247</v>
      </c>
      <c r="BT36" s="3">
        <v>302.39736399999998</v>
      </c>
      <c r="BU36" s="3">
        <v>215.08820399999999</v>
      </c>
      <c r="BV36" s="3">
        <v>354.71690799999999</v>
      </c>
      <c r="BW36" s="3">
        <v>2045.98975</v>
      </c>
      <c r="BX36" s="3" t="s">
        <v>390</v>
      </c>
      <c r="BY36" s="3">
        <v>87.5</v>
      </c>
      <c r="BZ36" s="3">
        <v>209.98109400000001</v>
      </c>
      <c r="CA36">
        <v>19.411231737330901</v>
      </c>
    </row>
    <row r="37" spans="1:79" x14ac:dyDescent="0.25">
      <c r="A37" s="3" t="s">
        <v>209</v>
      </c>
      <c r="B37" s="4">
        <v>692056</v>
      </c>
      <c r="C37" s="4">
        <v>6386248</v>
      </c>
      <c r="D37" s="3" t="s">
        <v>59</v>
      </c>
      <c r="E37" s="3" t="s">
        <v>27</v>
      </c>
      <c r="F37" s="3" t="s">
        <v>60</v>
      </c>
      <c r="G37" s="3" t="s">
        <v>61</v>
      </c>
      <c r="H37" s="3" t="s">
        <v>81</v>
      </c>
      <c r="I37" s="3" t="s">
        <v>81</v>
      </c>
      <c r="J37" s="3" t="s">
        <v>81</v>
      </c>
      <c r="K37" s="3" t="s">
        <v>80</v>
      </c>
      <c r="L37" s="3" t="s">
        <v>80</v>
      </c>
      <c r="M37" s="3" t="s">
        <v>80</v>
      </c>
      <c r="N37" s="3" t="s">
        <v>80</v>
      </c>
      <c r="O37" s="7" t="s">
        <v>81</v>
      </c>
      <c r="Q37">
        <v>0.12987000000000001</v>
      </c>
      <c r="R37" s="3">
        <v>1</v>
      </c>
      <c r="S37" s="3">
        <v>3.3376600000000001</v>
      </c>
      <c r="T37" s="3">
        <v>45</v>
      </c>
      <c r="U37" s="3">
        <v>95</v>
      </c>
      <c r="V37" s="3">
        <v>100</v>
      </c>
      <c r="W37" s="3">
        <v>78</v>
      </c>
      <c r="X37" s="3">
        <v>104</v>
      </c>
      <c r="Y37" s="3">
        <v>92</v>
      </c>
      <c r="Z37" s="3">
        <v>4</v>
      </c>
      <c r="AA37" s="3">
        <v>43</v>
      </c>
      <c r="AB37" s="3">
        <v>46</v>
      </c>
      <c r="AC37" s="3">
        <v>28</v>
      </c>
      <c r="AD37" s="3">
        <v>52</v>
      </c>
      <c r="AE37" s="3">
        <v>44</v>
      </c>
      <c r="AF37" s="3">
        <v>86</v>
      </c>
      <c r="AG37" s="3">
        <v>150</v>
      </c>
      <c r="AH37" s="3">
        <v>158</v>
      </c>
      <c r="AI37" s="3">
        <v>137</v>
      </c>
      <c r="AJ37" s="3">
        <v>161</v>
      </c>
      <c r="AK37" s="3">
        <v>142</v>
      </c>
      <c r="AL37" s="3">
        <v>508</v>
      </c>
      <c r="AM37" s="3">
        <v>508</v>
      </c>
      <c r="AN37" s="3">
        <v>304</v>
      </c>
      <c r="AO37" s="3">
        <v>348</v>
      </c>
      <c r="AP37" s="3">
        <v>412</v>
      </c>
      <c r="AQ37" s="3">
        <v>508</v>
      </c>
      <c r="AR37" s="3">
        <v>214</v>
      </c>
      <c r="AS37" s="3">
        <v>804</v>
      </c>
      <c r="AT37" s="3">
        <v>829</v>
      </c>
      <c r="AU37" s="3">
        <v>714</v>
      </c>
      <c r="AV37" s="3">
        <v>852</v>
      </c>
      <c r="AW37" s="3">
        <v>740</v>
      </c>
      <c r="AX37" s="3">
        <v>711</v>
      </c>
      <c r="AY37" s="3">
        <v>352</v>
      </c>
      <c r="AZ37" s="3">
        <v>-428</v>
      </c>
      <c r="BA37" s="3">
        <v>-78</v>
      </c>
      <c r="BB37" s="3">
        <v>-47</v>
      </c>
      <c r="BC37" s="3">
        <v>449</v>
      </c>
      <c r="BD37" s="3">
        <v>3454</v>
      </c>
      <c r="BE37" s="3">
        <v>1196</v>
      </c>
      <c r="BF37" s="3">
        <v>1904</v>
      </c>
      <c r="BG37" s="3">
        <v>2411</v>
      </c>
      <c r="BH37" s="3">
        <v>3575</v>
      </c>
      <c r="BI37" s="3">
        <v>2770</v>
      </c>
      <c r="BJ37" s="3">
        <v>0</v>
      </c>
      <c r="BK37" s="3">
        <v>307.875</v>
      </c>
      <c r="BL37" s="3">
        <v>893</v>
      </c>
      <c r="BM37" s="3">
        <v>0.33481981</v>
      </c>
      <c r="BN37" s="3">
        <v>0.55376877000000002</v>
      </c>
      <c r="BO37" s="3">
        <v>0.63479107999999995</v>
      </c>
      <c r="BP37" s="3">
        <v>0.40687308999999999</v>
      </c>
      <c r="BQ37" s="3">
        <v>1304.08494</v>
      </c>
      <c r="BR37" s="3">
        <v>382.71614799999998</v>
      </c>
      <c r="BS37" s="3">
        <v>401.46893699999998</v>
      </c>
      <c r="BT37" s="3">
        <v>351.44572799999997</v>
      </c>
      <c r="BU37" s="3">
        <v>351.33990699999998</v>
      </c>
      <c r="BW37" s="3">
        <v>2476.0663599999998</v>
      </c>
      <c r="BX37" s="3" t="s">
        <v>367</v>
      </c>
      <c r="BY37" s="3">
        <v>61.25</v>
      </c>
      <c r="BZ37" s="3">
        <v>337.576437</v>
      </c>
      <c r="CA37">
        <v>62.782481632979582</v>
      </c>
    </row>
    <row r="38" spans="1:79" x14ac:dyDescent="0.25">
      <c r="A38" s="3" t="s">
        <v>298</v>
      </c>
      <c r="B38" s="4">
        <v>694459.45</v>
      </c>
      <c r="C38" s="4">
        <v>6385708.8899999997</v>
      </c>
      <c r="D38" s="3" t="s">
        <v>62</v>
      </c>
      <c r="E38" s="3" t="s">
        <v>27</v>
      </c>
      <c r="G38" s="3" t="s">
        <v>50</v>
      </c>
      <c r="H38" s="3" t="s">
        <v>81</v>
      </c>
      <c r="I38" s="3" t="s">
        <v>81</v>
      </c>
      <c r="J38" s="3" t="s">
        <v>81</v>
      </c>
      <c r="K38" s="3" t="s">
        <v>80</v>
      </c>
      <c r="L38" s="3" t="s">
        <v>80</v>
      </c>
      <c r="M38" s="3" t="s">
        <v>80</v>
      </c>
      <c r="N38" s="3" t="s">
        <v>80</v>
      </c>
      <c r="O38" s="7" t="s">
        <v>80</v>
      </c>
      <c r="Q38">
        <v>0.12987000000000001</v>
      </c>
      <c r="R38" s="3">
        <v>1</v>
      </c>
      <c r="S38" s="3">
        <v>3.3376600000000001</v>
      </c>
      <c r="T38" s="3">
        <v>38</v>
      </c>
      <c r="U38" s="3">
        <v>83</v>
      </c>
      <c r="V38" s="3">
        <v>89</v>
      </c>
      <c r="W38" s="3">
        <v>66</v>
      </c>
      <c r="X38" s="3">
        <v>91</v>
      </c>
      <c r="Y38" s="3">
        <v>79</v>
      </c>
      <c r="Z38" s="3">
        <v>8</v>
      </c>
      <c r="AA38" s="3">
        <v>43</v>
      </c>
      <c r="AB38" s="3">
        <v>50</v>
      </c>
      <c r="AC38" s="3">
        <v>25</v>
      </c>
      <c r="AD38" s="3">
        <v>48</v>
      </c>
      <c r="AE38" s="3">
        <v>43</v>
      </c>
      <c r="AF38" s="3">
        <v>70</v>
      </c>
      <c r="AG38" s="3">
        <v>125</v>
      </c>
      <c r="AH38" s="3">
        <v>134</v>
      </c>
      <c r="AI38" s="3">
        <v>111</v>
      </c>
      <c r="AJ38" s="3">
        <v>137</v>
      </c>
      <c r="AK38" s="3">
        <v>117</v>
      </c>
      <c r="AL38" s="3">
        <v>659</v>
      </c>
      <c r="AM38" s="3">
        <v>659</v>
      </c>
      <c r="AN38" s="3">
        <v>446</v>
      </c>
      <c r="AO38" s="3">
        <v>535</v>
      </c>
      <c r="AP38" s="3">
        <v>551</v>
      </c>
      <c r="AQ38" s="3">
        <v>659</v>
      </c>
      <c r="AR38" s="3">
        <v>194</v>
      </c>
      <c r="AS38" s="3">
        <v>769</v>
      </c>
      <c r="AT38" s="3">
        <v>800</v>
      </c>
      <c r="AU38" s="3">
        <v>661</v>
      </c>
      <c r="AV38" s="3">
        <v>833</v>
      </c>
      <c r="AW38" s="3">
        <v>699</v>
      </c>
      <c r="AX38" s="3">
        <v>711</v>
      </c>
      <c r="AY38" s="3">
        <v>370</v>
      </c>
      <c r="AZ38" s="3">
        <v>-415</v>
      </c>
      <c r="BA38" s="3">
        <v>-36</v>
      </c>
      <c r="BB38" s="3">
        <v>-48</v>
      </c>
      <c r="BC38" s="3">
        <v>476</v>
      </c>
      <c r="BD38" s="3">
        <v>3439</v>
      </c>
      <c r="BE38" s="3">
        <v>1161</v>
      </c>
      <c r="BF38" s="3">
        <v>1876</v>
      </c>
      <c r="BG38" s="3">
        <v>2364</v>
      </c>
      <c r="BH38" s="3">
        <v>3523</v>
      </c>
      <c r="BI38" s="3">
        <v>2725</v>
      </c>
      <c r="BJ38" s="3">
        <v>0</v>
      </c>
      <c r="BK38" s="3">
        <v>279.46233999999998</v>
      </c>
      <c r="BL38" s="3">
        <v>965</v>
      </c>
      <c r="BM38" s="3">
        <v>7.4105799999999999E-3</v>
      </c>
      <c r="BN38" s="3">
        <v>9.3885440000000001E-2</v>
      </c>
      <c r="BO38" s="3">
        <v>0.92840539</v>
      </c>
      <c r="BP38" s="3">
        <v>0.86968318</v>
      </c>
      <c r="BQ38" s="3">
        <v>234.298115</v>
      </c>
      <c r="BR38" s="3">
        <v>112.148966</v>
      </c>
      <c r="BS38" s="3">
        <v>1252.1556</v>
      </c>
      <c r="BT38" s="3">
        <v>233.35408000000001</v>
      </c>
      <c r="BU38" s="3">
        <v>112.475218</v>
      </c>
      <c r="BV38" s="3">
        <v>2666.66795</v>
      </c>
      <c r="BW38" s="3">
        <v>7794.6334699999998</v>
      </c>
      <c r="BX38" s="3" t="s">
        <v>377</v>
      </c>
      <c r="BY38" s="3">
        <v>81.176019996774698</v>
      </c>
      <c r="BZ38" s="3">
        <v>1147.6425200000001</v>
      </c>
      <c r="CA38">
        <v>221.43855716655179</v>
      </c>
    </row>
    <row r="39" spans="1:79" x14ac:dyDescent="0.25">
      <c r="A39" s="3" t="s">
        <v>210</v>
      </c>
      <c r="B39" s="4">
        <v>697391.72</v>
      </c>
      <c r="C39" s="4">
        <v>6390262.3799999999</v>
      </c>
      <c r="D39" s="3" t="s">
        <v>74</v>
      </c>
      <c r="E39" s="3" t="s">
        <v>27</v>
      </c>
      <c r="G39" s="3" t="s">
        <v>63</v>
      </c>
      <c r="H39" s="3" t="s">
        <v>81</v>
      </c>
      <c r="I39" s="3" t="s">
        <v>80</v>
      </c>
      <c r="J39" s="3" t="s">
        <v>80</v>
      </c>
      <c r="K39" s="3" t="s">
        <v>80</v>
      </c>
      <c r="L39" s="3" t="s">
        <v>80</v>
      </c>
      <c r="M39" s="3" t="s">
        <v>80</v>
      </c>
      <c r="N39" s="3" t="s">
        <v>80</v>
      </c>
      <c r="O39" s="7" t="s">
        <v>80</v>
      </c>
      <c r="Q39">
        <v>0.12987000000000001</v>
      </c>
      <c r="R39" s="3">
        <v>1</v>
      </c>
      <c r="S39" s="3">
        <v>3.3376600000000001</v>
      </c>
      <c r="T39" s="3">
        <v>31</v>
      </c>
      <c r="U39" s="3">
        <v>74</v>
      </c>
      <c r="V39" s="3">
        <v>81</v>
      </c>
      <c r="W39" s="3">
        <v>58</v>
      </c>
      <c r="X39" s="3">
        <v>85</v>
      </c>
      <c r="Y39" s="3">
        <v>71</v>
      </c>
      <c r="Z39" s="3">
        <v>-11</v>
      </c>
      <c r="AA39" s="3">
        <v>24</v>
      </c>
      <c r="AB39" s="3">
        <v>28</v>
      </c>
      <c r="AC39" s="3">
        <v>4</v>
      </c>
      <c r="AD39" s="3">
        <v>29</v>
      </c>
      <c r="AE39" s="3">
        <v>26</v>
      </c>
      <c r="AF39" s="3">
        <v>73</v>
      </c>
      <c r="AG39" s="3">
        <v>122</v>
      </c>
      <c r="AH39" s="3">
        <v>131</v>
      </c>
      <c r="AI39" s="3">
        <v>110</v>
      </c>
      <c r="AJ39" s="3">
        <v>140</v>
      </c>
      <c r="AK39" s="3">
        <v>115</v>
      </c>
      <c r="AL39" s="3">
        <v>573</v>
      </c>
      <c r="AM39" s="3">
        <v>573</v>
      </c>
      <c r="AN39" s="3">
        <v>395</v>
      </c>
      <c r="AO39" s="3">
        <v>502</v>
      </c>
      <c r="AP39" s="3">
        <v>472</v>
      </c>
      <c r="AQ39" s="3">
        <v>573</v>
      </c>
      <c r="AR39" s="3">
        <v>169</v>
      </c>
      <c r="AS39" s="3">
        <v>718</v>
      </c>
      <c r="AT39" s="3">
        <v>759</v>
      </c>
      <c r="AU39" s="3">
        <v>607</v>
      </c>
      <c r="AV39" s="3">
        <v>800</v>
      </c>
      <c r="AW39" s="3">
        <v>651</v>
      </c>
      <c r="AX39" s="3">
        <v>713</v>
      </c>
      <c r="AY39" s="3">
        <v>362</v>
      </c>
      <c r="AZ39" s="3">
        <v>-379</v>
      </c>
      <c r="BA39" s="3">
        <v>10</v>
      </c>
      <c r="BB39" s="3">
        <v>-19</v>
      </c>
      <c r="BC39" s="3">
        <v>537</v>
      </c>
      <c r="BD39" s="3">
        <v>3250</v>
      </c>
      <c r="BE39" s="3">
        <v>1148</v>
      </c>
      <c r="BF39" s="3">
        <v>1858</v>
      </c>
      <c r="BG39" s="3">
        <v>2359</v>
      </c>
      <c r="BH39" s="3">
        <v>3582</v>
      </c>
      <c r="BI39" s="3">
        <v>2658</v>
      </c>
      <c r="BJ39" s="3">
        <v>0</v>
      </c>
      <c r="BK39" s="3">
        <v>201.80141</v>
      </c>
      <c r="BL39" s="3">
        <v>1138</v>
      </c>
      <c r="BM39" s="3">
        <v>0.55814516000000003</v>
      </c>
      <c r="BN39" s="3">
        <v>0.55144627000000002</v>
      </c>
      <c r="BO39" s="3">
        <v>0.45920575000000002</v>
      </c>
      <c r="BP39" s="3">
        <v>0.44055636999999997</v>
      </c>
      <c r="BQ39" s="3">
        <v>88.617418200000003</v>
      </c>
      <c r="BR39" s="3">
        <v>704.45625299999995</v>
      </c>
      <c r="BS39" s="3">
        <v>199.91153</v>
      </c>
      <c r="BT39" s="3">
        <v>37.909732300000002</v>
      </c>
      <c r="BU39" s="3">
        <v>42.265243400000003</v>
      </c>
      <c r="BV39" s="3">
        <v>283.47343899999998</v>
      </c>
      <c r="BW39" s="3">
        <v>808.11576700000001</v>
      </c>
      <c r="BX39" s="3" t="s">
        <v>391</v>
      </c>
      <c r="BY39" s="3">
        <v>73.375</v>
      </c>
      <c r="BZ39" s="3">
        <v>831.54528700000003</v>
      </c>
      <c r="CA39">
        <v>24.690095180185772</v>
      </c>
    </row>
    <row r="40" spans="1:79" x14ac:dyDescent="0.25">
      <c r="A40" s="3" t="s">
        <v>145</v>
      </c>
      <c r="B40" s="4">
        <v>690981.48</v>
      </c>
      <c r="C40" s="4">
        <v>6382779.0199999996</v>
      </c>
      <c r="D40" s="3" t="s">
        <v>4</v>
      </c>
      <c r="E40" s="3" t="s">
        <v>77</v>
      </c>
      <c r="G40" s="3" t="s">
        <v>139</v>
      </c>
      <c r="H40" s="3" t="s">
        <v>81</v>
      </c>
      <c r="I40" s="3" t="s">
        <v>81</v>
      </c>
      <c r="J40" s="3" t="s">
        <v>80</v>
      </c>
      <c r="K40" s="3" t="s">
        <v>80</v>
      </c>
      <c r="L40" s="3" t="s">
        <v>80</v>
      </c>
      <c r="M40" s="3" t="s">
        <v>80</v>
      </c>
      <c r="N40" s="3" t="s">
        <v>80</v>
      </c>
      <c r="O40" s="7" t="s">
        <v>80</v>
      </c>
      <c r="Q40">
        <v>0.52851000000000004</v>
      </c>
      <c r="R40" s="3">
        <v>1.44645</v>
      </c>
      <c r="S40" s="3">
        <v>4.9791400000000001</v>
      </c>
      <c r="T40" s="3">
        <v>50</v>
      </c>
      <c r="U40" s="3">
        <v>100</v>
      </c>
      <c r="V40" s="3">
        <v>105</v>
      </c>
      <c r="W40" s="3">
        <v>83</v>
      </c>
      <c r="X40" s="3">
        <v>107</v>
      </c>
      <c r="Y40" s="3">
        <v>97</v>
      </c>
      <c r="Z40" s="3">
        <v>12</v>
      </c>
      <c r="AA40" s="3">
        <v>52</v>
      </c>
      <c r="AB40" s="3">
        <v>57</v>
      </c>
      <c r="AC40" s="3">
        <v>32</v>
      </c>
      <c r="AD40" s="3">
        <v>57</v>
      </c>
      <c r="AE40" s="3">
        <v>53</v>
      </c>
      <c r="AF40" s="3">
        <v>87</v>
      </c>
      <c r="AG40" s="3">
        <v>150</v>
      </c>
      <c r="AH40" s="3">
        <v>157</v>
      </c>
      <c r="AI40" s="3">
        <v>136</v>
      </c>
      <c r="AJ40" s="3">
        <v>158</v>
      </c>
      <c r="AK40" s="3">
        <v>142</v>
      </c>
      <c r="AL40" s="3">
        <v>483</v>
      </c>
      <c r="AM40" s="3">
        <v>483</v>
      </c>
      <c r="AN40" s="3">
        <v>242</v>
      </c>
      <c r="AO40" s="3">
        <v>260</v>
      </c>
      <c r="AP40" s="3">
        <v>352</v>
      </c>
      <c r="AQ40" s="3">
        <v>483</v>
      </c>
      <c r="AR40" s="3">
        <v>248</v>
      </c>
      <c r="AS40" s="3">
        <v>872</v>
      </c>
      <c r="AT40" s="3">
        <v>893</v>
      </c>
      <c r="AU40" s="3">
        <v>781</v>
      </c>
      <c r="AV40" s="3">
        <v>925</v>
      </c>
      <c r="AW40" s="3">
        <v>804</v>
      </c>
      <c r="AX40" s="3">
        <v>681</v>
      </c>
      <c r="AY40" s="3">
        <v>309</v>
      </c>
      <c r="AZ40" s="3">
        <v>-491</v>
      </c>
      <c r="BA40" s="3">
        <v>-144</v>
      </c>
      <c r="BB40" s="3">
        <v>-121</v>
      </c>
      <c r="BC40" s="3">
        <v>370</v>
      </c>
      <c r="BD40" s="3">
        <v>3558</v>
      </c>
      <c r="BE40" s="3">
        <v>1196</v>
      </c>
      <c r="BF40" s="3">
        <v>1905</v>
      </c>
      <c r="BG40" s="3">
        <v>2401</v>
      </c>
      <c r="BH40" s="3">
        <v>3510</v>
      </c>
      <c r="BI40" s="3">
        <v>2782</v>
      </c>
      <c r="BJ40" s="3">
        <v>0</v>
      </c>
      <c r="BK40" s="3">
        <v>131.18593000000001</v>
      </c>
      <c r="BL40" s="3">
        <v>686</v>
      </c>
      <c r="BM40" s="3">
        <v>0.41568887999999998</v>
      </c>
      <c r="BN40" s="3">
        <v>0.54855482</v>
      </c>
      <c r="BO40" s="3">
        <v>0.55415833999999997</v>
      </c>
      <c r="BP40" s="3">
        <v>0.46675119999999998</v>
      </c>
      <c r="BQ40" s="3">
        <v>535.66220799999996</v>
      </c>
      <c r="BR40" s="3">
        <v>292.529856</v>
      </c>
      <c r="BS40" s="3">
        <v>1717.7159200000001</v>
      </c>
      <c r="BT40" s="3">
        <v>262.941664</v>
      </c>
      <c r="BU40" s="3">
        <v>120.684186</v>
      </c>
      <c r="BV40" s="3">
        <v>380.06006000000002</v>
      </c>
      <c r="BW40" s="3">
        <v>1680.0237199999999</v>
      </c>
      <c r="BX40" s="3" t="s">
        <v>392</v>
      </c>
      <c r="BY40" s="3">
        <v>70.134909031838902</v>
      </c>
      <c r="BZ40" s="3">
        <v>169.20834099999999</v>
      </c>
      <c r="CA40">
        <v>35.508855233332987</v>
      </c>
    </row>
    <row r="41" spans="1:79" x14ac:dyDescent="0.25">
      <c r="A41" s="3" t="s">
        <v>146</v>
      </c>
      <c r="B41" s="4">
        <v>690899.52</v>
      </c>
      <c r="C41" s="4">
        <v>6382897.1100000003</v>
      </c>
      <c r="D41" s="3" t="s">
        <v>4</v>
      </c>
      <c r="E41" s="3" t="s">
        <v>77</v>
      </c>
      <c r="G41" s="3" t="s">
        <v>139</v>
      </c>
      <c r="H41" s="3" t="s">
        <v>80</v>
      </c>
      <c r="I41" s="3" t="s">
        <v>80</v>
      </c>
      <c r="J41" s="5" t="s">
        <v>80</v>
      </c>
      <c r="K41" s="3" t="s">
        <v>81</v>
      </c>
      <c r="L41" s="3" t="s">
        <v>81</v>
      </c>
      <c r="M41" s="3" t="s">
        <v>81</v>
      </c>
      <c r="N41" s="3" t="s">
        <v>80</v>
      </c>
      <c r="O41" s="7" t="s">
        <v>81</v>
      </c>
      <c r="Q41">
        <v>0.52851000000000004</v>
      </c>
      <c r="R41" s="3">
        <v>1.44645</v>
      </c>
      <c r="S41" s="3">
        <v>4.9791400000000001</v>
      </c>
      <c r="T41" s="3">
        <v>50</v>
      </c>
      <c r="U41" s="3">
        <v>100</v>
      </c>
      <c r="V41" s="3">
        <v>105</v>
      </c>
      <c r="W41" s="3">
        <v>83</v>
      </c>
      <c r="X41" s="3">
        <v>107</v>
      </c>
      <c r="Y41" s="3">
        <v>97</v>
      </c>
      <c r="Z41" s="3">
        <v>12</v>
      </c>
      <c r="AA41" s="3">
        <v>52</v>
      </c>
      <c r="AB41" s="3">
        <v>57</v>
      </c>
      <c r="AC41" s="3">
        <v>32</v>
      </c>
      <c r="AD41" s="3">
        <v>57</v>
      </c>
      <c r="AE41" s="3">
        <v>53</v>
      </c>
      <c r="AF41" s="3">
        <v>87</v>
      </c>
      <c r="AG41" s="3">
        <v>150</v>
      </c>
      <c r="AH41" s="3">
        <v>157</v>
      </c>
      <c r="AI41" s="3">
        <v>136</v>
      </c>
      <c r="AJ41" s="3">
        <v>158</v>
      </c>
      <c r="AK41" s="3">
        <v>142</v>
      </c>
      <c r="AL41" s="3">
        <v>483</v>
      </c>
      <c r="AM41" s="3">
        <v>483</v>
      </c>
      <c r="AN41" s="3">
        <v>242</v>
      </c>
      <c r="AO41" s="3">
        <v>260</v>
      </c>
      <c r="AP41" s="3">
        <v>352</v>
      </c>
      <c r="AQ41" s="3">
        <v>483</v>
      </c>
      <c r="AR41" s="3">
        <v>248</v>
      </c>
      <c r="AS41" s="3">
        <v>872</v>
      </c>
      <c r="AT41" s="3">
        <v>893</v>
      </c>
      <c r="AU41" s="3">
        <v>781</v>
      </c>
      <c r="AV41" s="3">
        <v>925</v>
      </c>
      <c r="AW41" s="3">
        <v>804</v>
      </c>
      <c r="AX41" s="3">
        <v>681</v>
      </c>
      <c r="AY41" s="3">
        <v>309</v>
      </c>
      <c r="AZ41" s="3">
        <v>-491</v>
      </c>
      <c r="BA41" s="3">
        <v>-144</v>
      </c>
      <c r="BB41" s="3">
        <v>-121</v>
      </c>
      <c r="BC41" s="3">
        <v>370</v>
      </c>
      <c r="BD41" s="3">
        <v>3558</v>
      </c>
      <c r="BE41" s="3">
        <v>1196</v>
      </c>
      <c r="BF41" s="3">
        <v>1905</v>
      </c>
      <c r="BG41" s="3">
        <v>2401</v>
      </c>
      <c r="BH41" s="3">
        <v>3510</v>
      </c>
      <c r="BI41" s="3">
        <v>2782</v>
      </c>
      <c r="BJ41" s="3">
        <v>0</v>
      </c>
      <c r="BK41" s="3">
        <v>239.03623999999999</v>
      </c>
      <c r="BL41" s="3">
        <v>699</v>
      </c>
      <c r="BM41" s="3">
        <v>0.55258353999999998</v>
      </c>
      <c r="BN41" s="3">
        <v>0.45607611999999997</v>
      </c>
      <c r="BO41" s="3">
        <v>0.42803187999999998</v>
      </c>
      <c r="BP41" s="3">
        <v>0.53179619</v>
      </c>
      <c r="BQ41" s="3">
        <v>679.384457</v>
      </c>
      <c r="BR41" s="3">
        <v>334.80518000000001</v>
      </c>
      <c r="BS41" s="3">
        <v>1598.85115</v>
      </c>
      <c r="BT41" s="3">
        <v>316.181104</v>
      </c>
      <c r="BU41" s="3">
        <v>134.64828399999999</v>
      </c>
      <c r="BV41" s="3">
        <v>79.723096299999995</v>
      </c>
      <c r="BW41" s="3">
        <v>864.761439</v>
      </c>
      <c r="BX41" s="3" t="s">
        <v>392</v>
      </c>
      <c r="BY41" s="3">
        <v>70.134909031838902</v>
      </c>
      <c r="BZ41" s="3">
        <v>99.488946600000006</v>
      </c>
      <c r="CA41">
        <v>20.798136935756801</v>
      </c>
    </row>
    <row r="42" spans="1:79" x14ac:dyDescent="0.25">
      <c r="A42" s="3" t="s">
        <v>147</v>
      </c>
      <c r="B42" s="4">
        <v>689642.701</v>
      </c>
      <c r="C42" s="4">
        <v>6379980.4369999999</v>
      </c>
      <c r="D42" s="3" t="s">
        <v>393</v>
      </c>
      <c r="E42" s="3" t="s">
        <v>77</v>
      </c>
      <c r="G42" s="3" t="s">
        <v>5</v>
      </c>
      <c r="H42" s="3" t="s">
        <v>81</v>
      </c>
      <c r="I42" s="3" t="s">
        <v>81</v>
      </c>
      <c r="J42" s="6" t="s">
        <v>81</v>
      </c>
      <c r="K42" s="3" t="s">
        <v>81</v>
      </c>
      <c r="L42" s="3" t="s">
        <v>81</v>
      </c>
      <c r="M42" s="3" t="s">
        <v>81</v>
      </c>
      <c r="N42" s="3" t="s">
        <v>81</v>
      </c>
      <c r="O42" s="7" t="s">
        <v>81</v>
      </c>
      <c r="Q42">
        <v>0.52851000000000004</v>
      </c>
      <c r="R42" s="3">
        <v>1.44645</v>
      </c>
      <c r="S42" s="3">
        <v>4.9791400000000001</v>
      </c>
      <c r="T42" s="3">
        <v>59</v>
      </c>
      <c r="U42" s="3">
        <v>114</v>
      </c>
      <c r="V42" s="3">
        <v>119</v>
      </c>
      <c r="W42" s="3">
        <v>97</v>
      </c>
      <c r="X42" s="3">
        <v>121</v>
      </c>
      <c r="Y42" s="3">
        <v>112</v>
      </c>
      <c r="Z42" s="3">
        <v>16</v>
      </c>
      <c r="AA42" s="3">
        <v>59</v>
      </c>
      <c r="AB42" s="3">
        <v>60</v>
      </c>
      <c r="AC42" s="3">
        <v>39</v>
      </c>
      <c r="AD42" s="3">
        <v>61</v>
      </c>
      <c r="AE42" s="3">
        <v>61</v>
      </c>
      <c r="AF42" s="3">
        <v>101</v>
      </c>
      <c r="AG42" s="3">
        <v>172</v>
      </c>
      <c r="AH42" s="3">
        <v>178</v>
      </c>
      <c r="AI42" s="3">
        <v>158</v>
      </c>
      <c r="AJ42" s="3">
        <v>179</v>
      </c>
      <c r="AK42" s="3">
        <v>164</v>
      </c>
      <c r="AL42" s="3">
        <v>549</v>
      </c>
      <c r="AM42" s="3">
        <v>549</v>
      </c>
      <c r="AN42" s="3">
        <v>271</v>
      </c>
      <c r="AO42" s="3">
        <v>268</v>
      </c>
      <c r="AP42" s="3">
        <v>397</v>
      </c>
      <c r="AQ42" s="3">
        <v>549</v>
      </c>
      <c r="AR42" s="3">
        <v>269</v>
      </c>
      <c r="AS42" s="3">
        <v>911</v>
      </c>
      <c r="AT42" s="3">
        <v>925</v>
      </c>
      <c r="AU42" s="3">
        <v>830</v>
      </c>
      <c r="AV42" s="3">
        <v>956</v>
      </c>
      <c r="AW42" s="3">
        <v>845</v>
      </c>
      <c r="AX42" s="3">
        <v>664</v>
      </c>
      <c r="AY42" s="3">
        <v>293</v>
      </c>
      <c r="AZ42" s="3">
        <v>-518</v>
      </c>
      <c r="BA42" s="3">
        <v>-189</v>
      </c>
      <c r="BB42" s="3">
        <v>-152</v>
      </c>
      <c r="BC42" s="3">
        <v>317</v>
      </c>
      <c r="BD42" s="3">
        <v>3635</v>
      </c>
      <c r="BE42" s="3">
        <v>1211</v>
      </c>
      <c r="BF42" s="3">
        <v>1915</v>
      </c>
      <c r="BG42" s="3">
        <v>2393</v>
      </c>
      <c r="BH42" s="3">
        <v>3479</v>
      </c>
      <c r="BI42" s="3">
        <v>2794</v>
      </c>
      <c r="BJ42" s="3">
        <v>0</v>
      </c>
      <c r="BK42" s="3">
        <v>102.80427</v>
      </c>
      <c r="BL42" s="3">
        <v>538</v>
      </c>
      <c r="BM42" s="3">
        <v>0.37375583000000001</v>
      </c>
      <c r="BN42" s="3">
        <v>0.37821153000000002</v>
      </c>
      <c r="BO42" s="3">
        <v>0.63399437000000003</v>
      </c>
      <c r="BP42" s="3">
        <v>0.57410337</v>
      </c>
      <c r="BQ42" s="3">
        <v>505.52979099999999</v>
      </c>
      <c r="BR42" s="3">
        <v>200.1848</v>
      </c>
      <c r="BS42" s="3">
        <v>2127.3562999999999</v>
      </c>
      <c r="BT42" s="3">
        <v>443.75304199999999</v>
      </c>
      <c r="BU42" s="3">
        <v>196.373345</v>
      </c>
      <c r="BV42" s="3">
        <v>957.25208999999995</v>
      </c>
      <c r="BW42" s="3">
        <v>4137.9733800000004</v>
      </c>
      <c r="BX42" s="3" t="s">
        <v>394</v>
      </c>
      <c r="BY42" s="3">
        <v>9.1359649122807003</v>
      </c>
      <c r="BZ42" s="3">
        <v>145.11185900000001</v>
      </c>
      <c r="CA42">
        <v>40.561972338910778</v>
      </c>
    </row>
    <row r="43" spans="1:79" x14ac:dyDescent="0.25">
      <c r="A43" s="3" t="s">
        <v>211</v>
      </c>
      <c r="B43" s="4">
        <v>696138</v>
      </c>
      <c r="C43" s="4">
        <v>6383359</v>
      </c>
      <c r="D43" s="3" t="s">
        <v>64</v>
      </c>
      <c r="E43" s="3" t="s">
        <v>21</v>
      </c>
      <c r="G43" s="3" t="s">
        <v>395</v>
      </c>
      <c r="H43" s="3" t="s">
        <v>81</v>
      </c>
      <c r="I43" s="3" t="s">
        <v>81</v>
      </c>
      <c r="J43" s="3" t="s">
        <v>81</v>
      </c>
      <c r="K43" s="3" t="s">
        <v>80</v>
      </c>
      <c r="L43" s="3" t="s">
        <v>80</v>
      </c>
      <c r="M43" s="3" t="s">
        <v>80</v>
      </c>
      <c r="N43" s="3" t="s">
        <v>80</v>
      </c>
      <c r="O43" s="7" t="s">
        <v>81</v>
      </c>
      <c r="Q43">
        <v>0.64295000000000002</v>
      </c>
      <c r="R43" s="3">
        <v>0.81440000000000001</v>
      </c>
      <c r="S43" s="3">
        <v>2.2074600000000002</v>
      </c>
      <c r="T43" s="3">
        <v>40</v>
      </c>
      <c r="U43" s="3">
        <v>86</v>
      </c>
      <c r="V43" s="3">
        <v>92</v>
      </c>
      <c r="W43" s="3">
        <v>69</v>
      </c>
      <c r="X43" s="3">
        <v>95</v>
      </c>
      <c r="Y43" s="3">
        <v>82</v>
      </c>
      <c r="Z43" s="3">
        <v>10</v>
      </c>
      <c r="AA43" s="3">
        <v>45</v>
      </c>
      <c r="AB43" s="3">
        <v>52</v>
      </c>
      <c r="AC43" s="3">
        <v>27</v>
      </c>
      <c r="AD43" s="3">
        <v>50</v>
      </c>
      <c r="AE43" s="3">
        <v>46</v>
      </c>
      <c r="AF43" s="3">
        <v>72</v>
      </c>
      <c r="AG43" s="3">
        <v>127</v>
      </c>
      <c r="AH43" s="3">
        <v>136</v>
      </c>
      <c r="AI43" s="3">
        <v>113</v>
      </c>
      <c r="AJ43" s="3">
        <v>139</v>
      </c>
      <c r="AK43" s="3">
        <v>120</v>
      </c>
      <c r="AL43" s="3">
        <v>592</v>
      </c>
      <c r="AM43" s="3">
        <v>592</v>
      </c>
      <c r="AN43" s="3">
        <v>367</v>
      </c>
      <c r="AO43" s="3">
        <v>437</v>
      </c>
      <c r="AP43" s="3">
        <v>473</v>
      </c>
      <c r="AQ43" s="3">
        <v>592</v>
      </c>
      <c r="AR43" s="3">
        <v>201</v>
      </c>
      <c r="AS43" s="3">
        <v>777</v>
      </c>
      <c r="AT43" s="3">
        <v>809</v>
      </c>
      <c r="AU43" s="3">
        <v>678</v>
      </c>
      <c r="AV43" s="3">
        <v>846</v>
      </c>
      <c r="AW43" s="3">
        <v>711</v>
      </c>
      <c r="AX43" s="3">
        <v>693</v>
      </c>
      <c r="AY43" s="3">
        <v>379</v>
      </c>
      <c r="AZ43" s="3">
        <v>-438</v>
      </c>
      <c r="BA43" s="3">
        <v>-63</v>
      </c>
      <c r="BB43" s="3">
        <v>-82</v>
      </c>
      <c r="BC43" s="3">
        <v>436</v>
      </c>
      <c r="BD43" s="3">
        <v>3465</v>
      </c>
      <c r="BE43" s="3">
        <v>1122</v>
      </c>
      <c r="BF43" s="3">
        <v>1852</v>
      </c>
      <c r="BG43" s="3">
        <v>2308</v>
      </c>
      <c r="BH43" s="3">
        <v>3457</v>
      </c>
      <c r="BI43" s="3">
        <v>2692</v>
      </c>
      <c r="BJ43" s="3">
        <v>0</v>
      </c>
      <c r="BK43" s="3">
        <v>327.80426</v>
      </c>
      <c r="BL43" s="3">
        <v>979</v>
      </c>
      <c r="BM43" s="3">
        <v>0.35871701</v>
      </c>
      <c r="BN43" s="3">
        <v>0.35400368999999998</v>
      </c>
      <c r="BO43" s="3">
        <v>0.64713798</v>
      </c>
      <c r="BP43" s="3">
        <v>0.63796001999999996</v>
      </c>
      <c r="BQ43" s="3">
        <v>478.538703</v>
      </c>
      <c r="BR43" s="3">
        <v>279.745587</v>
      </c>
      <c r="BS43" s="3">
        <v>4124.4229699999996</v>
      </c>
      <c r="BT43" s="3">
        <v>312.50789400000002</v>
      </c>
      <c r="BU43" s="3">
        <v>245.97386</v>
      </c>
      <c r="BV43" s="3">
        <v>2.5281395</v>
      </c>
      <c r="BW43" s="3">
        <v>67.749554000000003</v>
      </c>
      <c r="BX43" s="3" t="s">
        <v>366</v>
      </c>
      <c r="BY43" s="3">
        <v>69.316088840736697</v>
      </c>
      <c r="BZ43" s="3">
        <v>395.18027799999999</v>
      </c>
      <c r="CA43">
        <v>38</v>
      </c>
    </row>
    <row r="44" spans="1:79" x14ac:dyDescent="0.25">
      <c r="A44" s="3" t="s">
        <v>148</v>
      </c>
      <c r="B44" s="4">
        <v>691739.3</v>
      </c>
      <c r="C44" s="4">
        <v>6379296.1900000004</v>
      </c>
      <c r="D44" s="3" t="s">
        <v>6</v>
      </c>
      <c r="E44" s="3" t="s">
        <v>77</v>
      </c>
      <c r="F44" s="3" t="s">
        <v>7</v>
      </c>
      <c r="G44" s="3" t="s">
        <v>7</v>
      </c>
      <c r="H44" s="3" t="s">
        <v>80</v>
      </c>
      <c r="I44" s="3" t="s">
        <v>80</v>
      </c>
      <c r="J44" s="3" t="s">
        <v>80</v>
      </c>
      <c r="K44" s="3" t="s">
        <v>81</v>
      </c>
      <c r="L44" s="3" t="s">
        <v>81</v>
      </c>
      <c r="M44" s="3" t="s">
        <v>81</v>
      </c>
      <c r="N44" s="3" t="s">
        <v>81</v>
      </c>
      <c r="O44" s="7" t="s">
        <v>81</v>
      </c>
      <c r="Q44">
        <v>0.52851000000000004</v>
      </c>
      <c r="R44" s="3">
        <v>1.44645</v>
      </c>
      <c r="S44" s="3">
        <v>4.9791400000000001</v>
      </c>
      <c r="T44" s="3">
        <v>55</v>
      </c>
      <c r="U44" s="3">
        <v>108</v>
      </c>
      <c r="V44" s="3">
        <v>112</v>
      </c>
      <c r="W44" s="3">
        <v>90</v>
      </c>
      <c r="X44" s="3">
        <v>114</v>
      </c>
      <c r="Y44" s="3">
        <v>104</v>
      </c>
      <c r="Z44" s="3">
        <v>14</v>
      </c>
      <c r="AA44" s="3">
        <v>56</v>
      </c>
      <c r="AB44" s="3">
        <v>60</v>
      </c>
      <c r="AC44" s="3">
        <v>36</v>
      </c>
      <c r="AD44" s="3">
        <v>61</v>
      </c>
      <c r="AE44" s="3">
        <v>59</v>
      </c>
      <c r="AF44" s="3">
        <v>92</v>
      </c>
      <c r="AG44" s="3">
        <v>159</v>
      </c>
      <c r="AH44" s="3">
        <v>166</v>
      </c>
      <c r="AI44" s="3">
        <v>144</v>
      </c>
      <c r="AJ44" s="3">
        <v>165</v>
      </c>
      <c r="AK44" s="3">
        <v>151</v>
      </c>
      <c r="AL44" s="3">
        <v>436</v>
      </c>
      <c r="AM44" s="3">
        <v>436</v>
      </c>
      <c r="AN44" s="3">
        <v>193</v>
      </c>
      <c r="AO44" s="3">
        <v>197</v>
      </c>
      <c r="AP44" s="3">
        <v>291</v>
      </c>
      <c r="AQ44" s="3">
        <v>436</v>
      </c>
      <c r="AR44" s="3">
        <v>263</v>
      </c>
      <c r="AS44" s="3">
        <v>901</v>
      </c>
      <c r="AT44" s="3">
        <v>916</v>
      </c>
      <c r="AU44" s="3">
        <v>812</v>
      </c>
      <c r="AV44" s="3">
        <v>949</v>
      </c>
      <c r="AW44" s="3">
        <v>832</v>
      </c>
      <c r="AX44" s="3">
        <v>656</v>
      </c>
      <c r="AY44" s="3">
        <v>319</v>
      </c>
      <c r="AZ44" s="3">
        <v>-523</v>
      </c>
      <c r="BA44" s="3">
        <v>-181</v>
      </c>
      <c r="BB44" s="3">
        <v>-166</v>
      </c>
      <c r="BC44" s="3">
        <v>317</v>
      </c>
      <c r="BD44" s="3">
        <v>3654</v>
      </c>
      <c r="BE44" s="3">
        <v>1169</v>
      </c>
      <c r="BF44" s="3">
        <v>1887</v>
      </c>
      <c r="BG44" s="3">
        <v>2344</v>
      </c>
      <c r="BH44" s="3">
        <v>3452</v>
      </c>
      <c r="BI44" s="3">
        <v>2754</v>
      </c>
      <c r="BJ44" s="3">
        <v>0</v>
      </c>
      <c r="BK44" s="3">
        <v>136.97493</v>
      </c>
      <c r="BL44" s="3">
        <v>606</v>
      </c>
      <c r="BM44" s="3">
        <v>0.24088966000000001</v>
      </c>
      <c r="BN44" s="3">
        <v>0.17986373</v>
      </c>
      <c r="BO44" s="3">
        <v>0.76398471999999995</v>
      </c>
      <c r="BP44" s="3">
        <v>0.74250563999999997</v>
      </c>
      <c r="BQ44" s="3">
        <v>144.69540499999999</v>
      </c>
      <c r="BR44" s="3">
        <v>248.551749</v>
      </c>
      <c r="BS44" s="3">
        <v>4300.0495700000001</v>
      </c>
      <c r="BT44" s="3">
        <v>356.90303999999998</v>
      </c>
      <c r="BU44" s="3">
        <v>244.50340299999999</v>
      </c>
      <c r="BV44" s="3">
        <v>38.057622199999997</v>
      </c>
      <c r="BW44" s="3">
        <v>5141.59728</v>
      </c>
      <c r="BX44" s="3" t="s">
        <v>371</v>
      </c>
      <c r="BY44" s="3">
        <v>0.94727272727272704</v>
      </c>
      <c r="BZ44" s="3">
        <v>1203.42147</v>
      </c>
      <c r="CA44">
        <v>30.5</v>
      </c>
    </row>
    <row r="45" spans="1:79" x14ac:dyDescent="0.25">
      <c r="A45" s="3" t="s">
        <v>170</v>
      </c>
      <c r="B45" s="4">
        <v>689916.83</v>
      </c>
      <c r="C45" s="4">
        <v>6384753.5</v>
      </c>
      <c r="D45" s="3" t="s">
        <v>8</v>
      </c>
      <c r="E45" s="3" t="s">
        <v>77</v>
      </c>
      <c r="F45" s="3" t="s">
        <v>150</v>
      </c>
      <c r="G45" s="3" t="s">
        <v>9</v>
      </c>
      <c r="H45" s="3" t="s">
        <v>81</v>
      </c>
      <c r="I45" s="3" t="s">
        <v>81</v>
      </c>
      <c r="J45" s="3" t="s">
        <v>81</v>
      </c>
      <c r="K45" s="3" t="s">
        <v>81</v>
      </c>
      <c r="L45" s="3" t="s">
        <v>80</v>
      </c>
      <c r="M45" s="3" t="s">
        <v>80</v>
      </c>
      <c r="N45" s="3" t="s">
        <v>80</v>
      </c>
      <c r="O45" s="7" t="s">
        <v>80</v>
      </c>
      <c r="Q45">
        <v>0.52851000000000004</v>
      </c>
      <c r="R45" s="3">
        <v>1.44645</v>
      </c>
      <c r="S45" s="3">
        <v>4.9791400000000001</v>
      </c>
      <c r="T45" s="3">
        <v>50</v>
      </c>
      <c r="U45" s="3">
        <v>103</v>
      </c>
      <c r="V45" s="3">
        <v>108</v>
      </c>
      <c r="W45" s="3">
        <v>87</v>
      </c>
      <c r="X45" s="3">
        <v>112</v>
      </c>
      <c r="Y45" s="3">
        <v>100</v>
      </c>
      <c r="Z45" s="3">
        <v>7</v>
      </c>
      <c r="AA45" s="3">
        <v>46</v>
      </c>
      <c r="AB45" s="3">
        <v>49</v>
      </c>
      <c r="AC45" s="3">
        <v>32</v>
      </c>
      <c r="AD45" s="3">
        <v>56</v>
      </c>
      <c r="AE45" s="3">
        <v>47</v>
      </c>
      <c r="AF45" s="3">
        <v>92</v>
      </c>
      <c r="AG45" s="3">
        <v>160</v>
      </c>
      <c r="AH45" s="3">
        <v>167</v>
      </c>
      <c r="AI45" s="3">
        <v>146</v>
      </c>
      <c r="AJ45" s="3">
        <v>169</v>
      </c>
      <c r="AK45" s="3">
        <v>152</v>
      </c>
      <c r="AL45" s="3">
        <v>475</v>
      </c>
      <c r="AM45" s="3">
        <v>475</v>
      </c>
      <c r="AN45" s="3">
        <v>266</v>
      </c>
      <c r="AO45" s="3">
        <v>294</v>
      </c>
      <c r="AP45" s="3">
        <v>384</v>
      </c>
      <c r="AQ45" s="3">
        <v>475</v>
      </c>
      <c r="AR45" s="3">
        <v>229</v>
      </c>
      <c r="AS45" s="3">
        <v>827</v>
      </c>
      <c r="AT45" s="3">
        <v>848</v>
      </c>
      <c r="AU45" s="3">
        <v>747</v>
      </c>
      <c r="AV45" s="3">
        <v>867</v>
      </c>
      <c r="AW45" s="3">
        <v>764</v>
      </c>
      <c r="AX45" s="3">
        <v>709</v>
      </c>
      <c r="AY45" s="3">
        <v>343</v>
      </c>
      <c r="AZ45" s="3">
        <v>-438</v>
      </c>
      <c r="BA45" s="3">
        <v>-104</v>
      </c>
      <c r="BB45" s="3">
        <v>-51</v>
      </c>
      <c r="BC45" s="3">
        <v>427</v>
      </c>
      <c r="BD45" s="3">
        <v>3519</v>
      </c>
      <c r="BE45" s="3">
        <v>1222</v>
      </c>
      <c r="BF45" s="3">
        <v>1923</v>
      </c>
      <c r="BG45" s="3">
        <v>2438</v>
      </c>
      <c r="BH45" s="3">
        <v>3565</v>
      </c>
      <c r="BI45" s="3">
        <v>2809</v>
      </c>
      <c r="BJ45" s="3">
        <v>0</v>
      </c>
      <c r="BK45" s="3">
        <v>239.03623999999999</v>
      </c>
      <c r="BL45" s="3">
        <v>837</v>
      </c>
      <c r="BM45" s="3">
        <v>0.29883240999999999</v>
      </c>
      <c r="BN45" s="3">
        <v>0.47901861000000001</v>
      </c>
      <c r="BO45" s="3">
        <v>0.68912962</v>
      </c>
      <c r="BP45" s="3">
        <v>0.49892982000000002</v>
      </c>
      <c r="BQ45" s="3">
        <v>1442.20173</v>
      </c>
      <c r="BR45" s="3">
        <v>302.75317200000001</v>
      </c>
      <c r="BS45" s="3">
        <v>218.997229</v>
      </c>
      <c r="BT45" s="3">
        <v>447.05941100000001</v>
      </c>
      <c r="BU45" s="3">
        <v>194.795659</v>
      </c>
      <c r="BV45" s="3">
        <v>1568.5061900000001</v>
      </c>
      <c r="BW45" s="3">
        <v>6211.3302800000001</v>
      </c>
      <c r="BX45" s="3" t="s">
        <v>396</v>
      </c>
      <c r="BY45" s="3">
        <v>70.8333333333333</v>
      </c>
      <c r="BZ45" s="3">
        <v>311.41606000000002</v>
      </c>
      <c r="CA45">
        <v>105.3652167462092</v>
      </c>
    </row>
    <row r="46" spans="1:79" x14ac:dyDescent="0.25">
      <c r="A46" s="3" t="s">
        <v>151</v>
      </c>
      <c r="B46" s="4">
        <v>688952.44</v>
      </c>
      <c r="C46" s="4">
        <v>6380154.5199999996</v>
      </c>
      <c r="D46" s="3" t="s">
        <v>10</v>
      </c>
      <c r="E46" s="3" t="s">
        <v>77</v>
      </c>
      <c r="F46" s="3" t="s">
        <v>11</v>
      </c>
      <c r="G46" s="3" t="s">
        <v>397</v>
      </c>
      <c r="H46" s="3" t="s">
        <v>81</v>
      </c>
      <c r="I46" s="3" t="s">
        <v>81</v>
      </c>
      <c r="J46" s="3" t="s">
        <v>81</v>
      </c>
      <c r="K46" s="3" t="s">
        <v>80</v>
      </c>
      <c r="L46" s="3" t="s">
        <v>80</v>
      </c>
      <c r="M46" s="3" t="s">
        <v>80</v>
      </c>
      <c r="N46" s="3" t="s">
        <v>80</v>
      </c>
      <c r="O46" s="7" t="s">
        <v>80</v>
      </c>
      <c r="Q46">
        <v>0.52851000000000004</v>
      </c>
      <c r="R46" s="3">
        <v>1.44645</v>
      </c>
      <c r="S46" s="3">
        <v>4.9791400000000001</v>
      </c>
      <c r="T46" s="3">
        <v>61</v>
      </c>
      <c r="U46" s="3">
        <v>116</v>
      </c>
      <c r="V46" s="3">
        <v>121</v>
      </c>
      <c r="W46" s="3">
        <v>100</v>
      </c>
      <c r="X46" s="3">
        <v>122</v>
      </c>
      <c r="Y46" s="3">
        <v>114</v>
      </c>
      <c r="Z46" s="3">
        <v>17</v>
      </c>
      <c r="AA46" s="3">
        <v>60</v>
      </c>
      <c r="AB46" s="3">
        <v>61</v>
      </c>
      <c r="AC46" s="3">
        <v>40</v>
      </c>
      <c r="AD46" s="3">
        <v>64</v>
      </c>
      <c r="AE46" s="3">
        <v>63</v>
      </c>
      <c r="AF46" s="3">
        <v>102</v>
      </c>
      <c r="AG46" s="3">
        <v>172</v>
      </c>
      <c r="AH46" s="3">
        <v>179</v>
      </c>
      <c r="AI46" s="3">
        <v>158</v>
      </c>
      <c r="AJ46" s="3">
        <v>180</v>
      </c>
      <c r="AK46" s="3">
        <v>165</v>
      </c>
      <c r="AL46" s="3">
        <v>534</v>
      </c>
      <c r="AM46" s="3">
        <v>534</v>
      </c>
      <c r="AN46" s="3">
        <v>255</v>
      </c>
      <c r="AO46" s="3">
        <v>248</v>
      </c>
      <c r="AP46" s="3">
        <v>378</v>
      </c>
      <c r="AQ46" s="3">
        <v>534</v>
      </c>
      <c r="AR46" s="3">
        <v>274</v>
      </c>
      <c r="AS46" s="3">
        <v>925</v>
      </c>
      <c r="AT46" s="3">
        <v>939</v>
      </c>
      <c r="AU46" s="3">
        <v>847</v>
      </c>
      <c r="AV46" s="3">
        <v>973</v>
      </c>
      <c r="AW46" s="3">
        <v>859</v>
      </c>
      <c r="AX46" s="3">
        <v>666</v>
      </c>
      <c r="AY46" s="3">
        <v>275</v>
      </c>
      <c r="AZ46" s="3">
        <v>-525</v>
      </c>
      <c r="BA46" s="3">
        <v>-202</v>
      </c>
      <c r="BB46" s="3">
        <v>-160</v>
      </c>
      <c r="BC46" s="3">
        <v>308</v>
      </c>
      <c r="BD46" s="3">
        <v>3601</v>
      </c>
      <c r="BE46" s="3">
        <v>1232</v>
      </c>
      <c r="BF46" s="3">
        <v>1930</v>
      </c>
      <c r="BG46" s="3">
        <v>2429</v>
      </c>
      <c r="BH46" s="3">
        <v>3506</v>
      </c>
      <c r="BI46" s="3">
        <v>2817</v>
      </c>
      <c r="BJ46" s="3">
        <v>0</v>
      </c>
      <c r="BK46" s="3">
        <v>180</v>
      </c>
      <c r="BL46" s="3">
        <v>519</v>
      </c>
      <c r="BM46" s="3">
        <v>0.14179233999999999</v>
      </c>
      <c r="BN46" s="3">
        <v>0.24606316</v>
      </c>
      <c r="BO46" s="3">
        <v>0.80799681000000001</v>
      </c>
      <c r="BP46" s="3">
        <v>0.74394415000000003</v>
      </c>
      <c r="BQ46" s="3">
        <v>543.56296599999996</v>
      </c>
      <c r="BR46" s="3">
        <v>243.03689</v>
      </c>
      <c r="BS46" s="3">
        <v>1454.22128</v>
      </c>
      <c r="BT46" s="3">
        <v>637.19116099999997</v>
      </c>
      <c r="BU46" s="3">
        <v>197.20452800000001</v>
      </c>
      <c r="BV46" s="3">
        <v>200.605591</v>
      </c>
      <c r="BW46" s="3">
        <v>6727.1791499999999</v>
      </c>
      <c r="BX46" s="3" t="s">
        <v>360</v>
      </c>
      <c r="BY46" s="3">
        <v>21.625330096260299</v>
      </c>
      <c r="BZ46" s="3">
        <v>371.22063200000002</v>
      </c>
      <c r="CA46">
        <v>39.99577645342967</v>
      </c>
    </row>
    <row r="47" spans="1:79" x14ac:dyDescent="0.25">
      <c r="A47" s="3" t="s">
        <v>152</v>
      </c>
      <c r="B47" s="4">
        <v>689451.36</v>
      </c>
      <c r="C47" s="4">
        <v>6379599.0999999996</v>
      </c>
      <c r="D47" s="3" t="s">
        <v>10</v>
      </c>
      <c r="E47" s="3" t="s">
        <v>77</v>
      </c>
      <c r="F47" s="3" t="s">
        <v>153</v>
      </c>
      <c r="H47" s="3" t="s">
        <v>80</v>
      </c>
      <c r="I47" s="3" t="s">
        <v>80</v>
      </c>
      <c r="J47" s="3" t="s">
        <v>80</v>
      </c>
      <c r="K47" s="3" t="s">
        <v>81</v>
      </c>
      <c r="L47" s="3" t="s">
        <v>81</v>
      </c>
      <c r="M47" s="3" t="s">
        <v>81</v>
      </c>
      <c r="N47" s="3" t="s">
        <v>81</v>
      </c>
      <c r="O47" s="7" t="s">
        <v>81</v>
      </c>
      <c r="Q47">
        <v>0.52851000000000004</v>
      </c>
      <c r="R47" s="3">
        <v>1.44645</v>
      </c>
      <c r="S47" s="3">
        <v>4.9791400000000001</v>
      </c>
      <c r="T47" s="3">
        <v>59</v>
      </c>
      <c r="U47" s="3">
        <v>114</v>
      </c>
      <c r="V47" s="3">
        <v>119</v>
      </c>
      <c r="W47" s="3">
        <v>97</v>
      </c>
      <c r="X47" s="3">
        <v>121</v>
      </c>
      <c r="Y47" s="3">
        <v>112</v>
      </c>
      <c r="Z47" s="3">
        <v>16</v>
      </c>
      <c r="AA47" s="3">
        <v>59</v>
      </c>
      <c r="AB47" s="3">
        <v>60</v>
      </c>
      <c r="AC47" s="3">
        <v>39</v>
      </c>
      <c r="AD47" s="3">
        <v>61</v>
      </c>
      <c r="AE47" s="3">
        <v>61</v>
      </c>
      <c r="AF47" s="3">
        <v>101</v>
      </c>
      <c r="AG47" s="3">
        <v>172</v>
      </c>
      <c r="AH47" s="3">
        <v>178</v>
      </c>
      <c r="AI47" s="3">
        <v>158</v>
      </c>
      <c r="AJ47" s="3">
        <v>179</v>
      </c>
      <c r="AK47" s="3">
        <v>164</v>
      </c>
      <c r="AL47" s="3">
        <v>549</v>
      </c>
      <c r="AM47" s="3">
        <v>549</v>
      </c>
      <c r="AN47" s="3">
        <v>271</v>
      </c>
      <c r="AO47" s="3">
        <v>268</v>
      </c>
      <c r="AP47" s="3">
        <v>397</v>
      </c>
      <c r="AQ47" s="3">
        <v>549</v>
      </c>
      <c r="AR47" s="3">
        <v>269</v>
      </c>
      <c r="AS47" s="3">
        <v>911</v>
      </c>
      <c r="AT47" s="3">
        <v>925</v>
      </c>
      <c r="AU47" s="3">
        <v>830</v>
      </c>
      <c r="AV47" s="3">
        <v>956</v>
      </c>
      <c r="AW47" s="3">
        <v>845</v>
      </c>
      <c r="AX47" s="3">
        <v>664</v>
      </c>
      <c r="AY47" s="3">
        <v>293</v>
      </c>
      <c r="AZ47" s="3">
        <v>-518</v>
      </c>
      <c r="BA47" s="3">
        <v>-189</v>
      </c>
      <c r="BB47" s="3">
        <v>-152</v>
      </c>
      <c r="BC47" s="3">
        <v>317</v>
      </c>
      <c r="BD47" s="3">
        <v>3621</v>
      </c>
      <c r="BE47" s="3">
        <v>1232</v>
      </c>
      <c r="BF47" s="3">
        <v>1931</v>
      </c>
      <c r="BG47" s="3">
        <v>2420</v>
      </c>
      <c r="BH47" s="3">
        <v>3491</v>
      </c>
      <c r="BI47" s="3">
        <v>2815</v>
      </c>
      <c r="BJ47" s="3">
        <v>0</v>
      </c>
      <c r="BK47" s="3">
        <v>237.80426</v>
      </c>
      <c r="BL47" s="3">
        <v>509</v>
      </c>
      <c r="BM47" s="3">
        <v>0.50936977999999999</v>
      </c>
      <c r="BN47" s="3">
        <v>0.49876722000000001</v>
      </c>
      <c r="BO47" s="3">
        <v>0.48053228999999997</v>
      </c>
      <c r="BP47" s="3">
        <v>0.44281962000000002</v>
      </c>
      <c r="BQ47" s="3">
        <v>232.796795</v>
      </c>
      <c r="BR47" s="3">
        <v>266.51874199999997</v>
      </c>
      <c r="BS47" s="3">
        <v>2192.08239</v>
      </c>
      <c r="BT47" s="3">
        <v>281.04516999999998</v>
      </c>
      <c r="BU47" s="3">
        <v>300.57736699999998</v>
      </c>
      <c r="BW47" s="3">
        <v>5596.3815100000002</v>
      </c>
      <c r="BX47" s="3" t="s">
        <v>398</v>
      </c>
      <c r="BY47" s="3">
        <v>1.4274611398963699</v>
      </c>
      <c r="BZ47" s="3">
        <v>81.654024399999997</v>
      </c>
      <c r="CA47">
        <v>9.4247622100204023</v>
      </c>
    </row>
    <row r="48" spans="1:79" x14ac:dyDescent="0.25">
      <c r="A48" s="3" t="s">
        <v>154</v>
      </c>
      <c r="B48" s="4">
        <v>688875.08</v>
      </c>
      <c r="C48" s="4">
        <v>6380454.0700000003</v>
      </c>
      <c r="D48" s="3" t="s">
        <v>399</v>
      </c>
      <c r="E48" s="3" t="s">
        <v>77</v>
      </c>
      <c r="G48" s="3" t="s">
        <v>400</v>
      </c>
      <c r="H48" s="3" t="s">
        <v>81</v>
      </c>
      <c r="I48" s="3" t="s">
        <v>81</v>
      </c>
      <c r="J48" s="3" t="s">
        <v>80</v>
      </c>
      <c r="K48" s="3" t="s">
        <v>80</v>
      </c>
      <c r="L48" s="3" t="s">
        <v>80</v>
      </c>
      <c r="M48" s="3" t="s">
        <v>80</v>
      </c>
      <c r="N48" s="3" t="s">
        <v>80</v>
      </c>
      <c r="O48" s="7" t="s">
        <v>80</v>
      </c>
      <c r="Q48">
        <v>0.52851000000000004</v>
      </c>
      <c r="R48" s="3">
        <v>1.44645</v>
      </c>
      <c r="S48" s="3">
        <v>4.9791400000000001</v>
      </c>
      <c r="T48" s="3">
        <v>61</v>
      </c>
      <c r="U48" s="3">
        <v>116</v>
      </c>
      <c r="V48" s="3">
        <v>121</v>
      </c>
      <c r="W48" s="3">
        <v>100</v>
      </c>
      <c r="X48" s="3">
        <v>122</v>
      </c>
      <c r="Y48" s="3">
        <v>114</v>
      </c>
      <c r="Z48" s="3">
        <v>17</v>
      </c>
      <c r="AA48" s="3">
        <v>60</v>
      </c>
      <c r="AB48" s="3">
        <v>61</v>
      </c>
      <c r="AC48" s="3">
        <v>40</v>
      </c>
      <c r="AD48" s="3">
        <v>64</v>
      </c>
      <c r="AE48" s="3">
        <v>63</v>
      </c>
      <c r="AF48" s="3">
        <v>102</v>
      </c>
      <c r="AG48" s="3">
        <v>172</v>
      </c>
      <c r="AH48" s="3">
        <v>179</v>
      </c>
      <c r="AI48" s="3">
        <v>158</v>
      </c>
      <c r="AJ48" s="3">
        <v>180</v>
      </c>
      <c r="AK48" s="3">
        <v>165</v>
      </c>
      <c r="AL48" s="3">
        <v>534</v>
      </c>
      <c r="AM48" s="3">
        <v>534</v>
      </c>
      <c r="AN48" s="3">
        <v>255</v>
      </c>
      <c r="AO48" s="3">
        <v>248</v>
      </c>
      <c r="AP48" s="3">
        <v>378</v>
      </c>
      <c r="AQ48" s="3">
        <v>534</v>
      </c>
      <c r="AR48" s="3">
        <v>274</v>
      </c>
      <c r="AS48" s="3">
        <v>925</v>
      </c>
      <c r="AT48" s="3">
        <v>939</v>
      </c>
      <c r="AU48" s="3">
        <v>847</v>
      </c>
      <c r="AV48" s="3">
        <v>973</v>
      </c>
      <c r="AW48" s="3">
        <v>859</v>
      </c>
      <c r="AX48" s="3">
        <v>666</v>
      </c>
      <c r="AY48" s="3">
        <v>275</v>
      </c>
      <c r="AZ48" s="3">
        <v>-525</v>
      </c>
      <c r="BA48" s="3">
        <v>-202</v>
      </c>
      <c r="BB48" s="3">
        <v>-160</v>
      </c>
      <c r="BC48" s="3">
        <v>308</v>
      </c>
      <c r="BD48" s="3">
        <v>3601</v>
      </c>
      <c r="BE48" s="3">
        <v>1232</v>
      </c>
      <c r="BF48" s="3">
        <v>1930</v>
      </c>
      <c r="BG48" s="3">
        <v>2429</v>
      </c>
      <c r="BH48" s="3">
        <v>3506</v>
      </c>
      <c r="BI48" s="3">
        <v>2817</v>
      </c>
      <c r="BJ48" s="3">
        <v>0</v>
      </c>
      <c r="BK48" s="3">
        <v>299.05462999999997</v>
      </c>
      <c r="BL48" s="3">
        <v>516</v>
      </c>
      <c r="BM48" s="3">
        <v>0.31511339999999999</v>
      </c>
      <c r="BN48" s="3">
        <v>0.21804968999999999</v>
      </c>
      <c r="BO48" s="3">
        <v>0.63729387999999998</v>
      </c>
      <c r="BP48" s="3">
        <v>0.73814625</v>
      </c>
      <c r="BQ48" s="3">
        <v>358.10701399999999</v>
      </c>
      <c r="BR48" s="3">
        <v>309.521365</v>
      </c>
      <c r="BS48" s="3">
        <v>1226.28043</v>
      </c>
      <c r="BT48" s="3">
        <v>331.10087800000002</v>
      </c>
      <c r="BU48" s="3">
        <v>296.51897600000001</v>
      </c>
      <c r="BW48" s="3">
        <v>2785.7712700000002</v>
      </c>
      <c r="BX48" s="3" t="s">
        <v>360</v>
      </c>
      <c r="BY48" s="3">
        <v>21.625330096260299</v>
      </c>
      <c r="BZ48" s="3">
        <v>176.71025599999999</v>
      </c>
      <c r="CA48">
        <v>11.02190954234066</v>
      </c>
    </row>
    <row r="49" spans="1:79" x14ac:dyDescent="0.25">
      <c r="A49" s="3" t="s">
        <v>155</v>
      </c>
      <c r="B49" s="4">
        <v>689080.99</v>
      </c>
      <c r="C49" s="4">
        <v>6380568.1600000001</v>
      </c>
      <c r="D49" s="3" t="s">
        <v>399</v>
      </c>
      <c r="E49" s="3" t="s">
        <v>77</v>
      </c>
      <c r="G49" s="3" t="s">
        <v>400</v>
      </c>
      <c r="H49" s="3" t="s">
        <v>80</v>
      </c>
      <c r="I49" s="3" t="s">
        <v>80</v>
      </c>
      <c r="J49" s="3" t="s">
        <v>81</v>
      </c>
      <c r="K49" s="3" t="s">
        <v>81</v>
      </c>
      <c r="L49" s="3" t="s">
        <v>81</v>
      </c>
      <c r="M49" s="3" t="s">
        <v>80</v>
      </c>
      <c r="N49" s="3" t="s">
        <v>80</v>
      </c>
      <c r="O49" s="7" t="s">
        <v>80</v>
      </c>
      <c r="Q49">
        <v>0.52851000000000004</v>
      </c>
      <c r="R49" s="3">
        <v>1.44645</v>
      </c>
      <c r="S49" s="3">
        <v>4.9791400000000001</v>
      </c>
      <c r="T49" s="3">
        <v>59</v>
      </c>
      <c r="U49" s="3">
        <v>114</v>
      </c>
      <c r="V49" s="3">
        <v>119</v>
      </c>
      <c r="W49" s="3">
        <v>98</v>
      </c>
      <c r="X49" s="3">
        <v>121</v>
      </c>
      <c r="Y49" s="3">
        <v>112</v>
      </c>
      <c r="Z49" s="3">
        <v>15</v>
      </c>
      <c r="AA49" s="3">
        <v>58</v>
      </c>
      <c r="AB49" s="3">
        <v>60</v>
      </c>
      <c r="AC49" s="3">
        <v>39</v>
      </c>
      <c r="AD49" s="3">
        <v>63</v>
      </c>
      <c r="AE49" s="3">
        <v>60</v>
      </c>
      <c r="AF49" s="3">
        <v>101</v>
      </c>
      <c r="AG49" s="3">
        <v>172</v>
      </c>
      <c r="AH49" s="3">
        <v>179</v>
      </c>
      <c r="AI49" s="3">
        <v>158</v>
      </c>
      <c r="AJ49" s="3">
        <v>180</v>
      </c>
      <c r="AK49" s="3">
        <v>165</v>
      </c>
      <c r="AL49" s="3">
        <v>528</v>
      </c>
      <c r="AM49" s="3">
        <v>528</v>
      </c>
      <c r="AN49" s="3">
        <v>259</v>
      </c>
      <c r="AO49" s="3">
        <v>257</v>
      </c>
      <c r="AP49" s="3">
        <v>387</v>
      </c>
      <c r="AQ49" s="3">
        <v>528</v>
      </c>
      <c r="AR49" s="3">
        <v>268</v>
      </c>
      <c r="AS49" s="3">
        <v>910</v>
      </c>
      <c r="AT49" s="3">
        <v>925</v>
      </c>
      <c r="AU49" s="3">
        <v>832</v>
      </c>
      <c r="AV49" s="3">
        <v>950</v>
      </c>
      <c r="AW49" s="3">
        <v>844</v>
      </c>
      <c r="AX49" s="3">
        <v>674</v>
      </c>
      <c r="AY49" s="3">
        <v>284</v>
      </c>
      <c r="AZ49" s="3">
        <v>-511</v>
      </c>
      <c r="BA49" s="3">
        <v>-186</v>
      </c>
      <c r="BB49" s="3">
        <v>-135</v>
      </c>
      <c r="BC49" s="3">
        <v>327</v>
      </c>
      <c r="BD49" s="3">
        <v>3601</v>
      </c>
      <c r="BE49" s="3">
        <v>1232</v>
      </c>
      <c r="BF49" s="3">
        <v>1930</v>
      </c>
      <c r="BG49" s="3">
        <v>2429</v>
      </c>
      <c r="BH49" s="3">
        <v>3506</v>
      </c>
      <c r="BI49" s="3">
        <v>2817</v>
      </c>
      <c r="BJ49" s="3">
        <v>0</v>
      </c>
      <c r="BK49" s="3">
        <v>0</v>
      </c>
      <c r="BL49" s="3">
        <v>514</v>
      </c>
      <c r="BM49" s="3">
        <v>0.18694358</v>
      </c>
      <c r="BN49" s="3">
        <v>0.11993714</v>
      </c>
      <c r="BO49" s="3">
        <v>0.76155434</v>
      </c>
      <c r="BP49" s="3">
        <v>0.82428066</v>
      </c>
      <c r="BQ49" s="3">
        <v>152.43496200000001</v>
      </c>
      <c r="BR49" s="3">
        <v>225.67777599999999</v>
      </c>
      <c r="BS49" s="3">
        <v>1367.9289000000001</v>
      </c>
      <c r="BT49" s="3">
        <v>396.47500000000002</v>
      </c>
      <c r="BU49" s="3">
        <v>236.905103</v>
      </c>
      <c r="BV49" s="3">
        <v>164.55589499999999</v>
      </c>
      <c r="BW49" s="3">
        <v>6084.1993400000001</v>
      </c>
      <c r="BX49" s="3" t="s">
        <v>360</v>
      </c>
      <c r="BY49" s="3">
        <v>21.625330096260299</v>
      </c>
      <c r="BZ49" s="3">
        <v>66.528607600000001</v>
      </c>
      <c r="CA49">
        <v>27.262459536960069</v>
      </c>
    </row>
    <row r="50" spans="1:79" x14ac:dyDescent="0.25">
      <c r="A50" s="3" t="s">
        <v>156</v>
      </c>
      <c r="B50" s="4">
        <v>688885.01100000006</v>
      </c>
      <c r="C50" s="4">
        <v>6380657.8969999999</v>
      </c>
      <c r="D50" s="3" t="s">
        <v>399</v>
      </c>
      <c r="E50" s="3" t="s">
        <v>77</v>
      </c>
      <c r="G50" s="3" t="s">
        <v>400</v>
      </c>
      <c r="H50" s="3" t="s">
        <v>80</v>
      </c>
      <c r="I50" s="3" t="s">
        <v>80</v>
      </c>
      <c r="J50" s="3" t="s">
        <v>80</v>
      </c>
      <c r="K50" s="3" t="s">
        <v>80</v>
      </c>
      <c r="L50" s="3" t="s">
        <v>80</v>
      </c>
      <c r="M50" s="3" t="s">
        <v>81</v>
      </c>
      <c r="N50" s="3" t="s">
        <v>81</v>
      </c>
      <c r="O50" s="7" t="s">
        <v>81</v>
      </c>
      <c r="P50" s="3" t="s">
        <v>171</v>
      </c>
      <c r="Q50">
        <v>0.52851000000000004</v>
      </c>
      <c r="R50" s="3">
        <v>1.44645</v>
      </c>
      <c r="S50" s="3">
        <v>4.9791400000000001</v>
      </c>
      <c r="T50" s="3">
        <v>59</v>
      </c>
      <c r="U50" s="3">
        <v>114</v>
      </c>
      <c r="V50" s="3">
        <v>119</v>
      </c>
      <c r="W50" s="3">
        <v>98</v>
      </c>
      <c r="X50" s="3">
        <v>121</v>
      </c>
      <c r="Y50" s="3">
        <v>112</v>
      </c>
      <c r="Z50" s="3">
        <v>15</v>
      </c>
      <c r="AA50" s="3">
        <v>58</v>
      </c>
      <c r="AB50" s="3">
        <v>60</v>
      </c>
      <c r="AC50" s="3">
        <v>39</v>
      </c>
      <c r="AD50" s="3">
        <v>63</v>
      </c>
      <c r="AE50" s="3">
        <v>60</v>
      </c>
      <c r="AF50" s="3">
        <v>101</v>
      </c>
      <c r="AG50" s="3">
        <v>172</v>
      </c>
      <c r="AH50" s="3">
        <v>179</v>
      </c>
      <c r="AI50" s="3">
        <v>158</v>
      </c>
      <c r="AJ50" s="3">
        <v>180</v>
      </c>
      <c r="AK50" s="3">
        <v>165</v>
      </c>
      <c r="AL50" s="3">
        <v>528</v>
      </c>
      <c r="AM50" s="3">
        <v>528</v>
      </c>
      <c r="AN50" s="3">
        <v>259</v>
      </c>
      <c r="AO50" s="3">
        <v>257</v>
      </c>
      <c r="AP50" s="3">
        <v>387</v>
      </c>
      <c r="AQ50" s="3">
        <v>528</v>
      </c>
      <c r="AR50" s="3">
        <v>268</v>
      </c>
      <c r="AS50" s="3">
        <v>910</v>
      </c>
      <c r="AT50" s="3">
        <v>925</v>
      </c>
      <c r="AU50" s="3">
        <v>832</v>
      </c>
      <c r="AV50" s="3">
        <v>950</v>
      </c>
      <c r="AW50" s="3">
        <v>844</v>
      </c>
      <c r="AX50" s="3">
        <v>674</v>
      </c>
      <c r="AY50" s="3">
        <v>284</v>
      </c>
      <c r="AZ50" s="3">
        <v>-511</v>
      </c>
      <c r="BA50" s="3">
        <v>-186</v>
      </c>
      <c r="BB50" s="3">
        <v>-135</v>
      </c>
      <c r="BC50" s="3">
        <v>327</v>
      </c>
      <c r="BD50" s="3">
        <v>3601</v>
      </c>
      <c r="BE50" s="3">
        <v>1232</v>
      </c>
      <c r="BF50" s="3">
        <v>1930</v>
      </c>
      <c r="BG50" s="3">
        <v>2429</v>
      </c>
      <c r="BH50" s="3">
        <v>3506</v>
      </c>
      <c r="BI50" s="3">
        <v>2817</v>
      </c>
      <c r="BJ50" s="3">
        <v>0</v>
      </c>
      <c r="BK50" s="3">
        <v>347.47118999999998</v>
      </c>
      <c r="BL50" s="3">
        <v>510</v>
      </c>
      <c r="BM50" s="3">
        <v>0.19307746000000001</v>
      </c>
      <c r="BN50" s="3">
        <v>0.25636777999999999</v>
      </c>
      <c r="BO50" s="3">
        <v>0.75136338999999996</v>
      </c>
      <c r="BP50" s="3">
        <v>0.73651993000000004</v>
      </c>
      <c r="BQ50" s="3">
        <v>192.76333399999999</v>
      </c>
      <c r="BR50" s="3">
        <v>105.63051900000001</v>
      </c>
      <c r="BS50" s="3">
        <v>1153.21819</v>
      </c>
      <c r="BT50" s="3">
        <v>181.54226600000001</v>
      </c>
      <c r="BU50" s="3">
        <v>97.819319800000002</v>
      </c>
      <c r="BV50" s="3">
        <v>997.84974299999999</v>
      </c>
      <c r="BW50" s="3">
        <v>3402.9304900000002</v>
      </c>
      <c r="BX50" s="3" t="s">
        <v>360</v>
      </c>
      <c r="BY50" s="3">
        <v>21.625330096260299</v>
      </c>
      <c r="BZ50" s="3">
        <v>211.47773599999999</v>
      </c>
      <c r="CA50">
        <v>11.377613985757449</v>
      </c>
    </row>
    <row r="51" spans="1:79" x14ac:dyDescent="0.25">
      <c r="A51" s="3" t="s">
        <v>158</v>
      </c>
      <c r="B51" s="4">
        <v>691354.4</v>
      </c>
      <c r="C51" s="4">
        <v>6381467.2800000003</v>
      </c>
      <c r="D51" s="3" t="s">
        <v>399</v>
      </c>
      <c r="E51" s="3" t="s">
        <v>77</v>
      </c>
      <c r="G51" s="3" t="s">
        <v>159</v>
      </c>
      <c r="H51" s="3" t="s">
        <v>80</v>
      </c>
      <c r="I51" s="3" t="s">
        <v>80</v>
      </c>
      <c r="J51" s="3" t="s">
        <v>80</v>
      </c>
      <c r="K51" s="3" t="s">
        <v>81</v>
      </c>
      <c r="L51" s="3" t="s">
        <v>81</v>
      </c>
      <c r="M51" s="3" t="s">
        <v>81</v>
      </c>
      <c r="N51" s="3" t="s">
        <v>81</v>
      </c>
      <c r="O51" s="7" t="s">
        <v>81</v>
      </c>
      <c r="Q51">
        <v>0.52851000000000004</v>
      </c>
      <c r="R51" s="3">
        <v>1.44645</v>
      </c>
      <c r="S51" s="3">
        <v>4.9791400000000001</v>
      </c>
      <c r="T51" s="3">
        <v>54</v>
      </c>
      <c r="U51" s="3">
        <v>108</v>
      </c>
      <c r="V51" s="3">
        <v>113</v>
      </c>
      <c r="W51" s="3">
        <v>91</v>
      </c>
      <c r="X51" s="3">
        <v>115</v>
      </c>
      <c r="Y51" s="3">
        <v>105</v>
      </c>
      <c r="Z51" s="3">
        <v>15</v>
      </c>
      <c r="AA51" s="3">
        <v>55</v>
      </c>
      <c r="AB51" s="3">
        <v>57</v>
      </c>
      <c r="AC51" s="3">
        <v>40</v>
      </c>
      <c r="AD51" s="3">
        <v>62</v>
      </c>
      <c r="AE51" s="3">
        <v>56</v>
      </c>
      <c r="AF51" s="3">
        <v>97</v>
      </c>
      <c r="AG51" s="3">
        <v>165</v>
      </c>
      <c r="AH51" s="3">
        <v>172</v>
      </c>
      <c r="AI51" s="3">
        <v>151</v>
      </c>
      <c r="AJ51" s="3">
        <v>174</v>
      </c>
      <c r="AK51" s="3">
        <v>157</v>
      </c>
      <c r="AL51" s="3">
        <v>507</v>
      </c>
      <c r="AM51" s="3">
        <v>507</v>
      </c>
      <c r="AN51" s="3">
        <v>273</v>
      </c>
      <c r="AO51" s="3">
        <v>285</v>
      </c>
      <c r="AP51" s="3">
        <v>392</v>
      </c>
      <c r="AQ51" s="3">
        <v>507</v>
      </c>
      <c r="AR51" s="3">
        <v>235</v>
      </c>
      <c r="AS51" s="3">
        <v>850</v>
      </c>
      <c r="AT51" s="3">
        <v>868</v>
      </c>
      <c r="AU51" s="3">
        <v>770</v>
      </c>
      <c r="AV51" s="3">
        <v>884</v>
      </c>
      <c r="AW51" s="3">
        <v>787</v>
      </c>
      <c r="AX51" s="3">
        <v>686</v>
      </c>
      <c r="AY51" s="3">
        <v>349</v>
      </c>
      <c r="AZ51" s="3">
        <v>-473</v>
      </c>
      <c r="BA51" s="3">
        <v>-138</v>
      </c>
      <c r="BB51" s="3">
        <v>-93</v>
      </c>
      <c r="BC51" s="3">
        <v>372</v>
      </c>
      <c r="BD51" s="3">
        <v>3587</v>
      </c>
      <c r="BE51" s="3">
        <v>1194</v>
      </c>
      <c r="BF51" s="3">
        <v>1903</v>
      </c>
      <c r="BG51" s="3">
        <v>2391</v>
      </c>
      <c r="BH51" s="3">
        <v>3495</v>
      </c>
      <c r="BI51" s="3">
        <v>2779</v>
      </c>
      <c r="BJ51" s="3">
        <v>0</v>
      </c>
      <c r="BK51" s="3">
        <v>247.61985999999999</v>
      </c>
      <c r="BL51" s="3">
        <v>569</v>
      </c>
      <c r="BM51" s="3">
        <v>0.58098844000000005</v>
      </c>
      <c r="BN51" s="3">
        <v>0.47776777999999998</v>
      </c>
      <c r="BO51" s="3">
        <v>0.37753039999999999</v>
      </c>
      <c r="BP51" s="3">
        <v>0.47217815000000002</v>
      </c>
      <c r="BQ51" s="3">
        <v>174.75493900000001</v>
      </c>
      <c r="BR51" s="3">
        <v>200.50984600000001</v>
      </c>
      <c r="BS51" s="3">
        <v>2851.94587</v>
      </c>
      <c r="BT51" s="3">
        <v>125.703884</v>
      </c>
      <c r="BU51" s="3">
        <v>225.52164999999999</v>
      </c>
      <c r="BV51" s="3">
        <v>415.13541400000003</v>
      </c>
      <c r="BW51" s="3">
        <v>3064.6159699999998</v>
      </c>
      <c r="BX51" s="3" t="s">
        <v>401</v>
      </c>
      <c r="BY51" s="3">
        <v>11.3470160791589</v>
      </c>
      <c r="BZ51" s="3">
        <v>146.174194</v>
      </c>
      <c r="CA51">
        <v>52.481629230034507</v>
      </c>
    </row>
    <row r="52" spans="1:79" x14ac:dyDescent="0.25">
      <c r="A52" s="3" t="s">
        <v>208</v>
      </c>
      <c r="B52" s="4">
        <v>698217.18</v>
      </c>
      <c r="C52" s="4">
        <v>6385796.6699999999</v>
      </c>
      <c r="D52" s="3" t="s">
        <v>54</v>
      </c>
      <c r="E52" s="3" t="s">
        <v>21</v>
      </c>
      <c r="F52" s="3" t="s">
        <v>58</v>
      </c>
      <c r="G52" s="3" t="s">
        <v>58</v>
      </c>
      <c r="H52" s="3" t="s">
        <v>80</v>
      </c>
      <c r="I52" s="3" t="s">
        <v>80</v>
      </c>
      <c r="J52" s="3" t="s">
        <v>80</v>
      </c>
      <c r="K52" s="3" t="s">
        <v>81</v>
      </c>
      <c r="L52" s="3" t="s">
        <v>81</v>
      </c>
      <c r="M52" s="3" t="s">
        <v>81</v>
      </c>
      <c r="N52" s="3" t="s">
        <v>81</v>
      </c>
      <c r="O52" s="7" t="s">
        <v>81</v>
      </c>
      <c r="Q52">
        <v>0.12987000000000001</v>
      </c>
      <c r="R52" s="3">
        <v>1</v>
      </c>
      <c r="S52" s="3">
        <v>3.3376600000000001</v>
      </c>
      <c r="T52" s="3">
        <v>36</v>
      </c>
      <c r="U52" s="3">
        <v>81</v>
      </c>
      <c r="V52" s="3">
        <v>87</v>
      </c>
      <c r="W52" s="3">
        <v>65</v>
      </c>
      <c r="X52" s="3">
        <v>92</v>
      </c>
      <c r="Y52" s="3">
        <v>78</v>
      </c>
      <c r="Z52" s="3">
        <v>-8</v>
      </c>
      <c r="AA52" s="3">
        <v>28</v>
      </c>
      <c r="AB52" s="3">
        <v>32</v>
      </c>
      <c r="AC52" s="3">
        <v>10</v>
      </c>
      <c r="AD52" s="3">
        <v>34</v>
      </c>
      <c r="AE52" s="3">
        <v>30</v>
      </c>
      <c r="AF52" s="3">
        <v>77</v>
      </c>
      <c r="AG52" s="3">
        <v>131</v>
      </c>
      <c r="AH52" s="3">
        <v>139</v>
      </c>
      <c r="AI52" s="3">
        <v>117</v>
      </c>
      <c r="AJ52" s="3">
        <v>146</v>
      </c>
      <c r="AK52" s="3">
        <v>123</v>
      </c>
      <c r="AL52" s="3">
        <v>609</v>
      </c>
      <c r="AM52" s="3">
        <v>609</v>
      </c>
      <c r="AN52" s="3">
        <v>388</v>
      </c>
      <c r="AO52" s="3">
        <v>482</v>
      </c>
      <c r="AP52" s="3">
        <v>501</v>
      </c>
      <c r="AQ52" s="3">
        <v>609</v>
      </c>
      <c r="AR52" s="3">
        <v>187</v>
      </c>
      <c r="AS52" s="3">
        <v>756</v>
      </c>
      <c r="AT52" s="3">
        <v>788</v>
      </c>
      <c r="AU52" s="3">
        <v>654</v>
      </c>
      <c r="AV52" s="3">
        <v>825</v>
      </c>
      <c r="AW52" s="3">
        <v>691</v>
      </c>
      <c r="AX52" s="3">
        <v>693</v>
      </c>
      <c r="AY52" s="3">
        <v>345</v>
      </c>
      <c r="AZ52" s="3">
        <v>-419</v>
      </c>
      <c r="BA52" s="3">
        <v>-41</v>
      </c>
      <c r="BB52" s="3">
        <v>-62</v>
      </c>
      <c r="BC52" s="3">
        <v>466</v>
      </c>
      <c r="BD52" s="3">
        <v>3338</v>
      </c>
      <c r="BE52" s="3">
        <v>1111</v>
      </c>
      <c r="BF52" s="3">
        <v>1840</v>
      </c>
      <c r="BG52" s="3">
        <v>2293</v>
      </c>
      <c r="BH52" s="3">
        <v>3467</v>
      </c>
      <c r="BI52" s="3">
        <v>2654</v>
      </c>
      <c r="BJ52" s="3">
        <v>0</v>
      </c>
      <c r="BK52" s="3">
        <v>136.78992</v>
      </c>
      <c r="BL52" s="3">
        <v>994</v>
      </c>
      <c r="BM52" s="3">
        <v>0.66148800929151241</v>
      </c>
      <c r="BN52" s="3">
        <v>0.86517396241401789</v>
      </c>
      <c r="BO52" s="3">
        <v>0.40319809981627641</v>
      </c>
      <c r="BP52" s="3">
        <v>0.23701266544345051</v>
      </c>
      <c r="BQ52" s="3">
        <v>147.6628323175556</v>
      </c>
      <c r="BR52" s="3">
        <v>193.78571589006521</v>
      </c>
      <c r="BS52" s="3">
        <v>3878.6924665836391</v>
      </c>
      <c r="BT52" s="3">
        <v>302.39736405763318</v>
      </c>
      <c r="BU52" s="3">
        <v>215.08820353509219</v>
      </c>
      <c r="BV52" s="3">
        <v>354.71690799552022</v>
      </c>
      <c r="BW52" s="3">
        <v>2045.989750255668</v>
      </c>
      <c r="BX52" s="3" t="s">
        <v>390</v>
      </c>
      <c r="BY52" s="3">
        <v>87.5</v>
      </c>
      <c r="BZ52" s="3">
        <v>209.98109438004749</v>
      </c>
      <c r="CA52">
        <v>19.411231737330901</v>
      </c>
    </row>
    <row r="53" spans="1:79" x14ac:dyDescent="0.25">
      <c r="A53" s="3" t="s">
        <v>209</v>
      </c>
      <c r="B53" s="4">
        <v>692056</v>
      </c>
      <c r="C53" s="4">
        <v>6386248</v>
      </c>
      <c r="D53" s="3" t="s">
        <v>59</v>
      </c>
      <c r="E53" s="3" t="s">
        <v>27</v>
      </c>
      <c r="F53" s="3" t="s">
        <v>60</v>
      </c>
      <c r="G53" s="3" t="s">
        <v>61</v>
      </c>
      <c r="H53" s="3" t="s">
        <v>81</v>
      </c>
      <c r="I53" s="3" t="s">
        <v>81</v>
      </c>
      <c r="J53" s="3" t="s">
        <v>81</v>
      </c>
      <c r="K53" s="3" t="s">
        <v>80</v>
      </c>
      <c r="L53" s="3" t="s">
        <v>80</v>
      </c>
      <c r="M53" s="3" t="s">
        <v>80</v>
      </c>
      <c r="N53" s="3" t="s">
        <v>80</v>
      </c>
      <c r="O53" s="7" t="s">
        <v>81</v>
      </c>
      <c r="Q53">
        <v>0.12987000000000001</v>
      </c>
      <c r="R53" s="3">
        <v>1</v>
      </c>
      <c r="S53" s="3">
        <v>3.3376600000000001</v>
      </c>
      <c r="T53" s="3">
        <v>45</v>
      </c>
      <c r="U53" s="3">
        <v>95</v>
      </c>
      <c r="V53" s="3">
        <v>100</v>
      </c>
      <c r="W53" s="3">
        <v>78</v>
      </c>
      <c r="X53" s="3">
        <v>104</v>
      </c>
      <c r="Y53" s="3">
        <v>92</v>
      </c>
      <c r="Z53" s="3">
        <v>4</v>
      </c>
      <c r="AA53" s="3">
        <v>43</v>
      </c>
      <c r="AB53" s="3">
        <v>46</v>
      </c>
      <c r="AC53" s="3">
        <v>28</v>
      </c>
      <c r="AD53" s="3">
        <v>52</v>
      </c>
      <c r="AE53" s="3">
        <v>44</v>
      </c>
      <c r="AF53" s="3">
        <v>86</v>
      </c>
      <c r="AG53" s="3">
        <v>150</v>
      </c>
      <c r="AH53" s="3">
        <v>158</v>
      </c>
      <c r="AI53" s="3">
        <v>137</v>
      </c>
      <c r="AJ53" s="3">
        <v>161</v>
      </c>
      <c r="AK53" s="3">
        <v>142</v>
      </c>
      <c r="AL53" s="3">
        <v>508</v>
      </c>
      <c r="AM53" s="3">
        <v>508</v>
      </c>
      <c r="AN53" s="3">
        <v>304</v>
      </c>
      <c r="AO53" s="3">
        <v>348</v>
      </c>
      <c r="AP53" s="3">
        <v>412</v>
      </c>
      <c r="AQ53" s="3">
        <v>508</v>
      </c>
      <c r="AR53" s="3">
        <v>214</v>
      </c>
      <c r="AS53" s="3">
        <v>804</v>
      </c>
      <c r="AT53" s="3">
        <v>829</v>
      </c>
      <c r="AU53" s="3">
        <v>714</v>
      </c>
      <c r="AV53" s="3">
        <v>852</v>
      </c>
      <c r="AW53" s="3">
        <v>740</v>
      </c>
      <c r="AX53" s="3">
        <v>711</v>
      </c>
      <c r="AY53" s="3">
        <v>352</v>
      </c>
      <c r="AZ53" s="3">
        <v>-428</v>
      </c>
      <c r="BA53" s="3">
        <v>-78</v>
      </c>
      <c r="BB53" s="3">
        <v>-47</v>
      </c>
      <c r="BC53" s="3">
        <v>449</v>
      </c>
      <c r="BD53" s="3">
        <v>3454</v>
      </c>
      <c r="BE53" s="3">
        <v>1196</v>
      </c>
      <c r="BF53" s="3">
        <v>1904</v>
      </c>
      <c r="BG53" s="3">
        <v>2411</v>
      </c>
      <c r="BH53" s="3">
        <v>3575</v>
      </c>
      <c r="BI53" s="3">
        <v>2770</v>
      </c>
      <c r="BJ53" s="3">
        <v>0</v>
      </c>
      <c r="BK53" s="3">
        <v>307.875</v>
      </c>
      <c r="BL53" s="3">
        <v>893</v>
      </c>
      <c r="BM53" s="3">
        <v>0.33481980851124699</v>
      </c>
      <c r="BN53" s="3">
        <v>0.55376877223481491</v>
      </c>
      <c r="BO53" s="3">
        <v>0.63479107940483104</v>
      </c>
      <c r="BP53" s="3">
        <v>0.40687308714125342</v>
      </c>
      <c r="BQ53" s="3">
        <v>1304.0849358838971</v>
      </c>
      <c r="BR53" s="3">
        <v>382.71614807830531</v>
      </c>
      <c r="BS53" s="3">
        <v>401.46893708370152</v>
      </c>
      <c r="BT53" s="3">
        <v>351.44572838663589</v>
      </c>
      <c r="BU53" s="3">
        <v>351.33990664300268</v>
      </c>
      <c r="BW53" s="3">
        <v>2476.066357784779</v>
      </c>
      <c r="BX53" s="3" t="s">
        <v>367</v>
      </c>
      <c r="BY53" s="3">
        <v>61.25</v>
      </c>
      <c r="BZ53" s="3">
        <v>337.57643664787253</v>
      </c>
      <c r="CA53">
        <v>62.782481632979582</v>
      </c>
    </row>
    <row r="54" spans="1:79" x14ac:dyDescent="0.25">
      <c r="A54" s="3" t="s">
        <v>298</v>
      </c>
      <c r="B54" s="4">
        <v>694459.45</v>
      </c>
      <c r="C54" s="3">
        <v>6385708.8899999997</v>
      </c>
      <c r="D54" s="3" t="s">
        <v>62</v>
      </c>
      <c r="E54" s="3" t="s">
        <v>27</v>
      </c>
      <c r="G54" s="3" t="s">
        <v>50</v>
      </c>
      <c r="H54" s="3" t="s">
        <v>81</v>
      </c>
      <c r="I54" s="3" t="s">
        <v>81</v>
      </c>
      <c r="J54" s="3" t="s">
        <v>81</v>
      </c>
      <c r="K54" s="3" t="s">
        <v>80</v>
      </c>
      <c r="L54" s="3" t="s">
        <v>80</v>
      </c>
      <c r="M54" s="3" t="s">
        <v>80</v>
      </c>
      <c r="N54" s="3" t="s">
        <v>80</v>
      </c>
      <c r="O54" s="7" t="s">
        <v>80</v>
      </c>
      <c r="Q54">
        <v>0.12987000000000001</v>
      </c>
      <c r="R54" s="3">
        <v>1</v>
      </c>
      <c r="S54" s="3">
        <v>3.3376600000000001</v>
      </c>
      <c r="T54" s="3">
        <v>38</v>
      </c>
      <c r="U54" s="3">
        <v>83</v>
      </c>
      <c r="V54" s="3">
        <v>89</v>
      </c>
      <c r="W54" s="3">
        <v>66</v>
      </c>
      <c r="X54" s="3">
        <v>91</v>
      </c>
      <c r="Y54" s="3">
        <v>79</v>
      </c>
      <c r="Z54" s="3">
        <v>8</v>
      </c>
      <c r="AA54" s="3">
        <v>43</v>
      </c>
      <c r="AB54" s="3">
        <v>50</v>
      </c>
      <c r="AC54" s="3">
        <v>25</v>
      </c>
      <c r="AD54" s="3">
        <v>48</v>
      </c>
      <c r="AE54" s="3">
        <v>43</v>
      </c>
      <c r="AF54" s="3">
        <v>70</v>
      </c>
      <c r="AG54" s="3">
        <v>125</v>
      </c>
      <c r="AH54" s="3">
        <v>134</v>
      </c>
      <c r="AI54" s="3">
        <v>111</v>
      </c>
      <c r="AJ54" s="3">
        <v>137</v>
      </c>
      <c r="AK54" s="3">
        <v>117</v>
      </c>
      <c r="AL54" s="3">
        <v>659</v>
      </c>
      <c r="AM54" s="3">
        <v>659</v>
      </c>
      <c r="AN54" s="3">
        <v>446</v>
      </c>
      <c r="AO54" s="3">
        <v>535</v>
      </c>
      <c r="AP54" s="3">
        <v>551</v>
      </c>
      <c r="AQ54" s="3">
        <v>659</v>
      </c>
      <c r="AR54" s="3">
        <v>194</v>
      </c>
      <c r="AS54" s="3">
        <v>769</v>
      </c>
      <c r="AT54" s="3">
        <v>800</v>
      </c>
      <c r="AU54" s="3">
        <v>661</v>
      </c>
      <c r="AV54" s="3">
        <v>833</v>
      </c>
      <c r="AW54" s="3">
        <v>699</v>
      </c>
      <c r="AX54" s="3">
        <v>711</v>
      </c>
      <c r="AY54" s="3">
        <v>370</v>
      </c>
      <c r="AZ54" s="3">
        <v>-415</v>
      </c>
      <c r="BA54" s="3">
        <v>-36</v>
      </c>
      <c r="BB54" s="3">
        <v>-48</v>
      </c>
      <c r="BC54" s="3">
        <v>476</v>
      </c>
      <c r="BD54" s="3">
        <v>3439</v>
      </c>
      <c r="BE54" s="3">
        <v>1161</v>
      </c>
      <c r="BF54" s="3">
        <v>1876</v>
      </c>
      <c r="BG54" s="3">
        <v>2364</v>
      </c>
      <c r="BH54" s="3">
        <v>3523</v>
      </c>
      <c r="BI54" s="3">
        <v>2725</v>
      </c>
      <c r="BJ54" s="3">
        <v>0</v>
      </c>
      <c r="BK54" s="3">
        <v>279.46233999999998</v>
      </c>
      <c r="BL54" s="3">
        <v>965</v>
      </c>
      <c r="BM54" s="3">
        <v>7.4105804545835288E-3</v>
      </c>
      <c r="BN54" s="3">
        <v>9.3885444667137677E-2</v>
      </c>
      <c r="BO54" s="3">
        <v>0.92840538941782447</v>
      </c>
      <c r="BP54" s="3">
        <v>0.8696831830821814</v>
      </c>
      <c r="BQ54" s="3">
        <v>234.29811480247841</v>
      </c>
      <c r="BR54" s="3">
        <v>112.1489661120001</v>
      </c>
      <c r="BS54" s="3">
        <v>1252.1556034125169</v>
      </c>
      <c r="BT54" s="3">
        <v>233.3540798876131</v>
      </c>
      <c r="BU54" s="3">
        <v>112.4752177147361</v>
      </c>
      <c r="BV54" s="3">
        <v>2666.6679541086778</v>
      </c>
      <c r="BW54" s="3">
        <v>7794.6334685361944</v>
      </c>
      <c r="BX54" s="3" t="s">
        <v>377</v>
      </c>
      <c r="BY54" s="3">
        <v>81.176019996774698</v>
      </c>
      <c r="BZ54" s="3">
        <v>1147.642516301963</v>
      </c>
      <c r="CA54">
        <v>221.43855716655179</v>
      </c>
    </row>
    <row r="55" spans="1:79" x14ac:dyDescent="0.25">
      <c r="A55" s="3" t="s">
        <v>210</v>
      </c>
      <c r="B55" s="3">
        <v>697391.72</v>
      </c>
      <c r="C55" s="3">
        <v>6390262.3799999999</v>
      </c>
      <c r="D55" s="3" t="s">
        <v>74</v>
      </c>
      <c r="E55" s="3" t="s">
        <v>27</v>
      </c>
      <c r="G55" s="3" t="s">
        <v>63</v>
      </c>
      <c r="H55" s="3" t="s">
        <v>81</v>
      </c>
      <c r="I55" s="3" t="s">
        <v>80</v>
      </c>
      <c r="J55" s="3" t="s">
        <v>80</v>
      </c>
      <c r="K55" s="3" t="s">
        <v>80</v>
      </c>
      <c r="L55" s="3" t="s">
        <v>80</v>
      </c>
      <c r="M55" s="3" t="s">
        <v>80</v>
      </c>
      <c r="N55" s="3" t="s">
        <v>80</v>
      </c>
      <c r="O55" s="7" t="s">
        <v>80</v>
      </c>
      <c r="Q55">
        <v>0.12987000000000001</v>
      </c>
      <c r="R55" s="3">
        <v>1</v>
      </c>
      <c r="S55" s="3">
        <v>3.3376600000000001</v>
      </c>
      <c r="T55" s="3">
        <v>31</v>
      </c>
      <c r="U55" s="3">
        <v>74</v>
      </c>
      <c r="V55" s="3">
        <v>81</v>
      </c>
      <c r="W55" s="3">
        <v>58</v>
      </c>
      <c r="X55" s="3">
        <v>85</v>
      </c>
      <c r="Y55" s="3">
        <v>71</v>
      </c>
      <c r="Z55" s="3">
        <v>-11</v>
      </c>
      <c r="AA55" s="3">
        <v>24</v>
      </c>
      <c r="AB55" s="3">
        <v>28</v>
      </c>
      <c r="AC55" s="3">
        <v>4</v>
      </c>
      <c r="AD55" s="3">
        <v>29</v>
      </c>
      <c r="AE55" s="3">
        <v>26</v>
      </c>
      <c r="AF55" s="3">
        <v>73</v>
      </c>
      <c r="AG55" s="3">
        <v>122</v>
      </c>
      <c r="AH55" s="3">
        <v>131</v>
      </c>
      <c r="AI55" s="3">
        <v>110</v>
      </c>
      <c r="AJ55" s="3">
        <v>140</v>
      </c>
      <c r="AK55" s="3">
        <v>115</v>
      </c>
      <c r="AL55" s="3">
        <v>573</v>
      </c>
      <c r="AM55" s="3">
        <v>573</v>
      </c>
      <c r="AN55" s="3">
        <v>395</v>
      </c>
      <c r="AO55" s="3">
        <v>502</v>
      </c>
      <c r="AP55" s="3">
        <v>472</v>
      </c>
      <c r="AQ55" s="3">
        <v>573</v>
      </c>
      <c r="AR55" s="3">
        <v>169</v>
      </c>
      <c r="AS55" s="3">
        <v>718</v>
      </c>
      <c r="AT55" s="3">
        <v>759</v>
      </c>
      <c r="AU55" s="3">
        <v>607</v>
      </c>
      <c r="AV55" s="3">
        <v>800</v>
      </c>
      <c r="AW55" s="3">
        <v>651</v>
      </c>
      <c r="AX55" s="3">
        <v>713</v>
      </c>
      <c r="AY55" s="3">
        <v>362</v>
      </c>
      <c r="AZ55" s="3">
        <v>-379</v>
      </c>
      <c r="BA55" s="3">
        <v>10</v>
      </c>
      <c r="BB55" s="3">
        <v>-19</v>
      </c>
      <c r="BC55" s="3">
        <v>537</v>
      </c>
      <c r="BD55" s="3">
        <v>3250</v>
      </c>
      <c r="BE55" s="3">
        <v>1148</v>
      </c>
      <c r="BF55" s="3">
        <v>1858</v>
      </c>
      <c r="BG55" s="3">
        <v>2359</v>
      </c>
      <c r="BH55" s="3">
        <v>3582</v>
      </c>
      <c r="BI55" s="3">
        <v>2658</v>
      </c>
      <c r="BJ55" s="3">
        <v>0</v>
      </c>
      <c r="BK55" s="3">
        <v>201.80141</v>
      </c>
      <c r="BL55" s="3">
        <v>1138</v>
      </c>
      <c r="BM55" s="3">
        <v>0.55814515871830339</v>
      </c>
      <c r="BN55" s="3">
        <v>0.55144626799787688</v>
      </c>
      <c r="BO55" s="3">
        <v>0.45920574542290382</v>
      </c>
      <c r="BP55" s="3">
        <v>0.44055637205797848</v>
      </c>
      <c r="BQ55" s="3">
        <v>88.617418152562678</v>
      </c>
      <c r="BR55" s="3">
        <v>704.4562527941597</v>
      </c>
      <c r="BS55" s="3">
        <v>199.91152979606289</v>
      </c>
      <c r="BT55" s="3">
        <v>37.909732308032297</v>
      </c>
      <c r="BU55" s="3">
        <v>42.265243404163087</v>
      </c>
      <c r="BV55" s="3">
        <v>283.47343880496919</v>
      </c>
      <c r="BW55" s="3">
        <v>808.11576718010474</v>
      </c>
      <c r="BX55" s="3" t="s">
        <v>391</v>
      </c>
      <c r="BY55" s="3">
        <v>73.375</v>
      </c>
      <c r="BZ55" s="3">
        <v>831.54528720477924</v>
      </c>
      <c r="CA55">
        <v>24.690095180185772</v>
      </c>
    </row>
    <row r="56" spans="1:79" x14ac:dyDescent="0.25">
      <c r="A56" s="3" t="s">
        <v>211</v>
      </c>
      <c r="B56" s="4">
        <v>696138</v>
      </c>
      <c r="C56" s="3">
        <v>6383359</v>
      </c>
      <c r="D56" s="3" t="s">
        <v>64</v>
      </c>
      <c r="E56" s="3" t="s">
        <v>21</v>
      </c>
      <c r="G56" s="3" t="s">
        <v>395</v>
      </c>
      <c r="H56" s="3" t="s">
        <v>81</v>
      </c>
      <c r="I56" s="3" t="s">
        <v>81</v>
      </c>
      <c r="J56" s="3" t="s">
        <v>81</v>
      </c>
      <c r="K56" s="3" t="s">
        <v>80</v>
      </c>
      <c r="L56" s="3" t="s">
        <v>80</v>
      </c>
      <c r="M56" s="3" t="s">
        <v>80</v>
      </c>
      <c r="N56" s="3" t="s">
        <v>80</v>
      </c>
      <c r="O56" s="7" t="s">
        <v>81</v>
      </c>
      <c r="Q56">
        <v>0.64295000000000002</v>
      </c>
      <c r="R56" s="3">
        <v>0.81440000000000001</v>
      </c>
      <c r="S56" s="3">
        <v>2.2074600000000002</v>
      </c>
      <c r="T56" s="3">
        <v>40</v>
      </c>
      <c r="U56" s="3">
        <v>86</v>
      </c>
      <c r="V56" s="3">
        <v>92</v>
      </c>
      <c r="W56" s="3">
        <v>69</v>
      </c>
      <c r="X56" s="3">
        <v>95</v>
      </c>
      <c r="Y56" s="3">
        <v>82</v>
      </c>
      <c r="Z56" s="3">
        <v>10</v>
      </c>
      <c r="AA56" s="3">
        <v>45</v>
      </c>
      <c r="AB56" s="3">
        <v>52</v>
      </c>
      <c r="AC56" s="3">
        <v>27</v>
      </c>
      <c r="AD56" s="3">
        <v>50</v>
      </c>
      <c r="AE56" s="3">
        <v>46</v>
      </c>
      <c r="AF56" s="3">
        <v>72</v>
      </c>
      <c r="AG56" s="3">
        <v>127</v>
      </c>
      <c r="AH56" s="3">
        <v>136</v>
      </c>
      <c r="AI56" s="3">
        <v>113</v>
      </c>
      <c r="AJ56" s="3">
        <v>139</v>
      </c>
      <c r="AK56" s="3">
        <v>120</v>
      </c>
      <c r="AL56" s="3">
        <v>592</v>
      </c>
      <c r="AM56" s="3">
        <v>592</v>
      </c>
      <c r="AN56" s="3">
        <v>367</v>
      </c>
      <c r="AO56" s="3">
        <v>437</v>
      </c>
      <c r="AP56" s="3">
        <v>473</v>
      </c>
      <c r="AQ56" s="3">
        <v>592</v>
      </c>
      <c r="AR56" s="3">
        <v>201</v>
      </c>
      <c r="AS56" s="3">
        <v>777</v>
      </c>
      <c r="AT56" s="3">
        <v>809</v>
      </c>
      <c r="AU56" s="3">
        <v>678</v>
      </c>
      <c r="AV56" s="3">
        <v>846</v>
      </c>
      <c r="AW56" s="3">
        <v>711</v>
      </c>
      <c r="AX56" s="3">
        <v>693</v>
      </c>
      <c r="AY56" s="3">
        <v>379</v>
      </c>
      <c r="AZ56" s="3">
        <v>-438</v>
      </c>
      <c r="BA56" s="3">
        <v>-63</v>
      </c>
      <c r="BB56" s="3">
        <v>-82</v>
      </c>
      <c r="BC56" s="3">
        <v>436</v>
      </c>
      <c r="BD56" s="3">
        <v>3465</v>
      </c>
      <c r="BE56" s="3">
        <v>1122</v>
      </c>
      <c r="BF56" s="3">
        <v>1852</v>
      </c>
      <c r="BG56" s="3">
        <v>2308</v>
      </c>
      <c r="BH56" s="3">
        <v>3457</v>
      </c>
      <c r="BI56" s="3">
        <v>2692</v>
      </c>
      <c r="BJ56" s="3">
        <v>0</v>
      </c>
      <c r="BK56" s="3">
        <v>327.80426</v>
      </c>
      <c r="BL56" s="3">
        <v>979</v>
      </c>
      <c r="BM56" s="3">
        <v>0.35871701417253249</v>
      </c>
      <c r="BN56" s="3">
        <v>0.35400369202426851</v>
      </c>
      <c r="BO56" s="3">
        <v>0.64713797585570465</v>
      </c>
      <c r="BP56" s="3">
        <v>0.63796001613258646</v>
      </c>
      <c r="BQ56" s="3">
        <v>478.53870271915071</v>
      </c>
      <c r="BR56" s="3">
        <v>279.74558663895829</v>
      </c>
      <c r="BS56" s="3">
        <v>4124.4229684089796</v>
      </c>
      <c r="BT56" s="3">
        <v>312.50789392276653</v>
      </c>
      <c r="BU56" s="3">
        <v>245.9738603996785</v>
      </c>
      <c r="BV56" s="3">
        <v>2.528139504604042</v>
      </c>
      <c r="BW56" s="3">
        <v>67.749553993344307</v>
      </c>
      <c r="BX56" s="3" t="s">
        <v>366</v>
      </c>
      <c r="BY56" s="3">
        <v>69.316088840736697</v>
      </c>
      <c r="BZ56" s="3">
        <v>395.18027778863848</v>
      </c>
      <c r="CA56">
        <v>38</v>
      </c>
    </row>
  </sheetData>
  <autoFilter ref="A1:Q56" xr:uid="{1B614AA6-1D6A-4F9B-AB67-5AA103323D6A}"/>
  <phoneticPr fontId="3" type="noConversion"/>
  <dataValidations count="2">
    <dataValidation type="list" allowBlank="1" showInputMessage="1" showErrorMessage="1" sqref="O57:O1048576 H2:N1048576" xr:uid="{DB7BCE05-C596-4883-B72C-F1C32E74AB04}">
      <formula1>"OUI,NON,?"</formula1>
    </dataValidation>
    <dataValidation type="list" allowBlank="1" showInputMessage="1" showErrorMessage="1" sqref="O2:O1048576" xr:uid="{7811204F-5C71-404D-BE95-DEB05D64DC1B}">
      <formula1>"OUI,NON"</formula1>
    </dataValidation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9D33-9A7B-45BA-BBF3-6DA9F542ACFF}">
  <dimension ref="A1:AK115"/>
  <sheetViews>
    <sheetView zoomScale="70" zoomScaleNormal="70" workbookViewId="0">
      <selection activeCell="Q17" sqref="Q17"/>
    </sheetView>
  </sheetViews>
  <sheetFormatPr defaultColWidth="11.42578125" defaultRowHeight="15" x14ac:dyDescent="0.25"/>
  <cols>
    <col min="1" max="1" width="25.85546875" bestFit="1" customWidth="1"/>
    <col min="2" max="36" width="5.7109375" customWidth="1"/>
  </cols>
  <sheetData>
    <row r="1" spans="1:36" x14ac:dyDescent="0.25">
      <c r="A1" t="s">
        <v>300</v>
      </c>
      <c r="B1" s="3" t="s">
        <v>201</v>
      </c>
      <c r="C1" s="3" t="s">
        <v>175</v>
      </c>
      <c r="D1" s="3" t="s">
        <v>177</v>
      </c>
      <c r="E1" s="3" t="s">
        <v>178</v>
      </c>
      <c r="F1" s="3" t="s">
        <v>176</v>
      </c>
      <c r="G1" s="3" t="s">
        <v>179</v>
      </c>
      <c r="H1" s="3" t="s">
        <v>196</v>
      </c>
      <c r="I1" s="3" t="s">
        <v>203</v>
      </c>
      <c r="J1" s="3" t="s">
        <v>184</v>
      </c>
      <c r="K1" s="3" t="s">
        <v>211</v>
      </c>
      <c r="L1" s="3" t="s">
        <v>158</v>
      </c>
      <c r="M1" s="3" t="s">
        <v>163</v>
      </c>
      <c r="N1" s="3" t="s">
        <v>189</v>
      </c>
      <c r="O1" s="3" t="s">
        <v>224</v>
      </c>
      <c r="P1" s="3" t="s">
        <v>208</v>
      </c>
      <c r="Q1" s="3" t="s">
        <v>190</v>
      </c>
      <c r="R1" s="3" t="s">
        <v>188</v>
      </c>
      <c r="S1" s="3" t="s">
        <v>148</v>
      </c>
      <c r="T1" s="3" t="s">
        <v>169</v>
      </c>
      <c r="U1" s="3" t="s">
        <v>225</v>
      </c>
      <c r="V1" s="3" t="s">
        <v>209</v>
      </c>
      <c r="W1" s="3" t="s">
        <v>164</v>
      </c>
      <c r="X1" s="3" t="s">
        <v>180</v>
      </c>
      <c r="Y1" s="3" t="s">
        <v>187</v>
      </c>
      <c r="Z1" s="3" t="s">
        <v>183</v>
      </c>
      <c r="AA1" s="3" t="s">
        <v>186</v>
      </c>
      <c r="AB1" s="3" t="s">
        <v>205</v>
      </c>
      <c r="AC1" s="3" t="s">
        <v>167</v>
      </c>
      <c r="AD1" s="3" t="s">
        <v>146</v>
      </c>
      <c r="AE1" s="3" t="s">
        <v>174</v>
      </c>
      <c r="AF1" s="3" t="s">
        <v>147</v>
      </c>
      <c r="AG1" s="3" t="s">
        <v>156</v>
      </c>
      <c r="AH1" s="3" t="s">
        <v>160</v>
      </c>
      <c r="AI1" s="3" t="s">
        <v>152</v>
      </c>
      <c r="AJ1" s="3" t="s">
        <v>143</v>
      </c>
    </row>
    <row r="2" spans="1:36" x14ac:dyDescent="0.25">
      <c r="A2" t="s">
        <v>85</v>
      </c>
      <c r="B2" s="4">
        <v>1</v>
      </c>
      <c r="C2" s="4">
        <v>0</v>
      </c>
      <c r="D2" s="4">
        <v>0</v>
      </c>
      <c r="E2" s="4">
        <v>0.5</v>
      </c>
      <c r="F2" s="4">
        <v>1</v>
      </c>
      <c r="G2" s="4">
        <v>0</v>
      </c>
      <c r="H2" s="4">
        <v>2</v>
      </c>
      <c r="I2" s="4">
        <v>0</v>
      </c>
      <c r="J2" s="4">
        <v>0.5</v>
      </c>
      <c r="K2" s="4">
        <v>0.5</v>
      </c>
      <c r="L2" s="4">
        <v>0</v>
      </c>
      <c r="M2" s="4">
        <v>0</v>
      </c>
      <c r="N2" s="4">
        <v>0.5</v>
      </c>
      <c r="O2" s="4">
        <v>0</v>
      </c>
      <c r="P2" s="4">
        <v>0.5</v>
      </c>
      <c r="Q2" s="4">
        <v>0</v>
      </c>
      <c r="R2" s="4">
        <v>0</v>
      </c>
      <c r="S2" s="4">
        <v>0</v>
      </c>
      <c r="T2" s="4">
        <v>0.5</v>
      </c>
      <c r="U2" s="4">
        <v>0.5</v>
      </c>
      <c r="V2" s="4">
        <v>1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1</v>
      </c>
      <c r="AC2" s="4">
        <v>2</v>
      </c>
      <c r="AD2" s="4">
        <v>1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1</v>
      </c>
    </row>
    <row r="3" spans="1:36" x14ac:dyDescent="0.25">
      <c r="A3" t="s">
        <v>226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spans="1:36" x14ac:dyDescent="0.25">
      <c r="A4" t="s">
        <v>107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1</v>
      </c>
      <c r="AG4" s="4">
        <v>1</v>
      </c>
      <c r="AH4" s="4">
        <v>0</v>
      </c>
      <c r="AI4" s="4">
        <v>0</v>
      </c>
      <c r="AJ4" s="4">
        <v>0</v>
      </c>
    </row>
    <row r="5" spans="1:36" x14ac:dyDescent="0.25">
      <c r="A5" t="s">
        <v>227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1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0.5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5">
      <c r="A6" t="s">
        <v>121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0.5</v>
      </c>
      <c r="AH6" s="4">
        <v>0</v>
      </c>
      <c r="AI6" s="4">
        <v>0</v>
      </c>
      <c r="AJ6" s="4">
        <v>0</v>
      </c>
    </row>
    <row r="7" spans="1:36" x14ac:dyDescent="0.25">
      <c r="A7" t="s">
        <v>228</v>
      </c>
      <c r="B7" s="4">
        <v>0.5</v>
      </c>
      <c r="C7" s="4">
        <v>1</v>
      </c>
      <c r="D7" s="4">
        <v>1</v>
      </c>
      <c r="E7" s="4">
        <v>1</v>
      </c>
      <c r="F7" s="4">
        <v>0</v>
      </c>
      <c r="G7" s="4">
        <v>1</v>
      </c>
      <c r="H7" s="4">
        <v>2</v>
      </c>
      <c r="I7" s="4">
        <v>0</v>
      </c>
      <c r="J7" s="4">
        <v>0.5</v>
      </c>
      <c r="K7" s="4">
        <v>2</v>
      </c>
      <c r="L7" s="4">
        <v>0</v>
      </c>
      <c r="M7" s="4">
        <v>0</v>
      </c>
      <c r="N7" s="4">
        <v>2</v>
      </c>
      <c r="O7" s="4">
        <v>2</v>
      </c>
      <c r="P7" s="4">
        <v>2</v>
      </c>
      <c r="Q7" s="4">
        <v>1</v>
      </c>
      <c r="R7" s="4">
        <v>0.5</v>
      </c>
      <c r="S7" s="4">
        <v>0.5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1</v>
      </c>
      <c r="AA7" s="4">
        <v>0</v>
      </c>
      <c r="AB7" s="4">
        <v>0.5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1</v>
      </c>
    </row>
    <row r="8" spans="1:36" x14ac:dyDescent="0.25">
      <c r="A8" t="s">
        <v>229</v>
      </c>
      <c r="B8" s="4">
        <v>0.5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0.5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</row>
    <row r="9" spans="1:36" x14ac:dyDescent="0.25">
      <c r="A9" t="s">
        <v>230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0.5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</row>
    <row r="10" spans="1:36" x14ac:dyDescent="0.25">
      <c r="A10" t="s">
        <v>108</v>
      </c>
      <c r="B10" s="4">
        <v>0</v>
      </c>
      <c r="C10" s="4">
        <v>2</v>
      </c>
      <c r="D10" s="4">
        <v>2</v>
      </c>
      <c r="E10" s="4">
        <v>0.5</v>
      </c>
      <c r="F10" s="4">
        <v>0</v>
      </c>
      <c r="G10" s="4">
        <v>0.5</v>
      </c>
      <c r="H10" s="4">
        <v>0.5</v>
      </c>
      <c r="I10" s="4">
        <v>0.5</v>
      </c>
      <c r="J10" s="4">
        <v>0</v>
      </c>
      <c r="K10" s="4">
        <v>3</v>
      </c>
      <c r="L10" s="4">
        <v>0</v>
      </c>
      <c r="M10" s="4">
        <v>0</v>
      </c>
      <c r="N10" s="4">
        <v>2</v>
      </c>
      <c r="O10" s="4">
        <v>1</v>
      </c>
      <c r="P10" s="4">
        <v>0.5</v>
      </c>
      <c r="Q10" s="4">
        <v>1</v>
      </c>
      <c r="R10" s="4">
        <v>0</v>
      </c>
      <c r="S10" s="4">
        <v>1</v>
      </c>
      <c r="T10" s="4">
        <v>3</v>
      </c>
      <c r="U10" s="4">
        <v>1</v>
      </c>
      <c r="V10" s="4">
        <v>1</v>
      </c>
      <c r="W10" s="4">
        <v>0</v>
      </c>
      <c r="X10" s="4">
        <v>0</v>
      </c>
      <c r="Y10" s="4">
        <v>0</v>
      </c>
      <c r="Z10" s="4">
        <v>3</v>
      </c>
      <c r="AA10" s="4">
        <v>0.5</v>
      </c>
      <c r="AB10" s="4">
        <v>1</v>
      </c>
      <c r="AC10" s="4">
        <v>0.5</v>
      </c>
      <c r="AD10" s="4">
        <v>0</v>
      </c>
      <c r="AE10" s="4">
        <v>0</v>
      </c>
      <c r="AF10" s="4">
        <v>3</v>
      </c>
      <c r="AG10" s="4">
        <v>2</v>
      </c>
      <c r="AH10" s="4">
        <v>5</v>
      </c>
      <c r="AI10" s="4">
        <v>4</v>
      </c>
      <c r="AJ10" s="4">
        <v>0</v>
      </c>
    </row>
    <row r="11" spans="1:36" x14ac:dyDescent="0.25">
      <c r="A11" t="s">
        <v>115</v>
      </c>
      <c r="B11" s="4">
        <v>0.5</v>
      </c>
      <c r="C11" s="4">
        <v>0</v>
      </c>
      <c r="D11" s="4">
        <v>0</v>
      </c>
      <c r="E11" s="4">
        <v>0.5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2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</v>
      </c>
      <c r="AH11" s="4">
        <v>0</v>
      </c>
      <c r="AI11" s="4">
        <v>0</v>
      </c>
      <c r="AJ11" s="4">
        <v>0</v>
      </c>
    </row>
    <row r="12" spans="1:36" x14ac:dyDescent="0.25">
      <c r="A12" t="s">
        <v>99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3">
        <v>0.5</v>
      </c>
      <c r="AF12" s="4">
        <v>0</v>
      </c>
      <c r="AG12" s="3">
        <v>0.5</v>
      </c>
      <c r="AH12" s="4">
        <v>0</v>
      </c>
      <c r="AI12" s="4">
        <v>0</v>
      </c>
      <c r="AJ12" s="4">
        <v>0</v>
      </c>
    </row>
    <row r="13" spans="1:36" x14ac:dyDescent="0.25">
      <c r="A13" t="s">
        <v>231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0.5</v>
      </c>
      <c r="H13" s="4">
        <v>0</v>
      </c>
      <c r="I13" s="4">
        <v>0.5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0.5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</row>
    <row r="14" spans="1:36" x14ac:dyDescent="0.25">
      <c r="A14" t="s">
        <v>232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1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</row>
    <row r="15" spans="1:36" x14ac:dyDescent="0.25">
      <c r="A15" t="s">
        <v>233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</row>
    <row r="16" spans="1:36" x14ac:dyDescent="0.25">
      <c r="A16" t="s">
        <v>116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2</v>
      </c>
      <c r="AH16" s="4">
        <v>0</v>
      </c>
      <c r="AI16" s="4">
        <v>0</v>
      </c>
      <c r="AJ16" s="4">
        <v>0</v>
      </c>
    </row>
    <row r="17" spans="1:36" x14ac:dyDescent="0.25">
      <c r="A17" t="s">
        <v>83</v>
      </c>
      <c r="B17" s="4">
        <v>0.5</v>
      </c>
      <c r="C17" s="4">
        <v>0</v>
      </c>
      <c r="D17" s="4">
        <v>2</v>
      </c>
      <c r="E17" s="4">
        <v>2</v>
      </c>
      <c r="F17" s="4">
        <v>1</v>
      </c>
      <c r="G17" s="4">
        <v>2</v>
      </c>
      <c r="H17" s="4">
        <v>3</v>
      </c>
      <c r="I17" s="4">
        <v>2</v>
      </c>
      <c r="J17" s="4">
        <v>2</v>
      </c>
      <c r="K17" s="4">
        <v>3</v>
      </c>
      <c r="L17" s="4">
        <v>1</v>
      </c>
      <c r="M17" s="4">
        <v>3</v>
      </c>
      <c r="N17" s="4">
        <v>1</v>
      </c>
      <c r="O17" s="4">
        <v>3</v>
      </c>
      <c r="P17" s="4">
        <v>2</v>
      </c>
      <c r="Q17" s="4">
        <v>1</v>
      </c>
      <c r="R17" s="4">
        <v>3</v>
      </c>
      <c r="S17" s="4">
        <v>0</v>
      </c>
      <c r="T17" s="4">
        <v>1</v>
      </c>
      <c r="U17" s="4">
        <v>2</v>
      </c>
      <c r="V17" s="4">
        <v>0</v>
      </c>
      <c r="W17" s="4">
        <v>0</v>
      </c>
      <c r="X17" s="4">
        <v>1</v>
      </c>
      <c r="Y17" s="4">
        <v>3</v>
      </c>
      <c r="Z17" s="4">
        <v>0</v>
      </c>
      <c r="AA17" s="4">
        <v>2</v>
      </c>
      <c r="AB17" s="4">
        <v>2</v>
      </c>
      <c r="AC17" s="4">
        <v>2</v>
      </c>
      <c r="AD17" s="4">
        <v>5</v>
      </c>
      <c r="AE17" s="4">
        <v>0</v>
      </c>
      <c r="AF17" s="4">
        <v>4</v>
      </c>
      <c r="AG17" s="4">
        <v>0</v>
      </c>
      <c r="AH17" s="4">
        <v>0</v>
      </c>
      <c r="AI17" s="4">
        <v>1</v>
      </c>
      <c r="AJ17" s="4">
        <v>3</v>
      </c>
    </row>
    <row r="18" spans="1:36" x14ac:dyDescent="0.25">
      <c r="A18" t="s">
        <v>234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</v>
      </c>
      <c r="T18" s="4">
        <v>0.5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</row>
    <row r="19" spans="1:36" x14ac:dyDescent="0.25">
      <c r="A19" t="s">
        <v>102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1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</row>
    <row r="20" spans="1:36" x14ac:dyDescent="0.25">
      <c r="A20" t="s">
        <v>235</v>
      </c>
      <c r="B20" s="4">
        <v>0.5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</row>
    <row r="21" spans="1:36" x14ac:dyDescent="0.25">
      <c r="A21" t="s">
        <v>236</v>
      </c>
      <c r="B21" s="4">
        <v>0.5</v>
      </c>
      <c r="C21" s="4">
        <v>2</v>
      </c>
      <c r="D21" s="4">
        <v>0</v>
      </c>
      <c r="E21" s="4">
        <v>0.5</v>
      </c>
      <c r="F21" s="4">
        <v>0.5</v>
      </c>
      <c r="G21" s="4">
        <v>1</v>
      </c>
      <c r="H21" s="4">
        <v>0.5</v>
      </c>
      <c r="I21" s="4">
        <v>0.5</v>
      </c>
      <c r="J21" s="4">
        <v>0</v>
      </c>
      <c r="K21" s="4">
        <v>0.5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4">
        <v>0.5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0.5</v>
      </c>
      <c r="AC21" s="4">
        <v>0.5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</row>
    <row r="22" spans="1:36" x14ac:dyDescent="0.25">
      <c r="A22" t="s">
        <v>117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0.5</v>
      </c>
      <c r="AH22" s="4">
        <v>0</v>
      </c>
      <c r="AI22" s="4">
        <v>0</v>
      </c>
      <c r="AJ22" s="4">
        <v>0</v>
      </c>
    </row>
    <row r="23" spans="1:36" x14ac:dyDescent="0.25">
      <c r="A23" t="s">
        <v>237</v>
      </c>
      <c r="B23" s="4">
        <v>0</v>
      </c>
      <c r="C23" s="4">
        <v>0</v>
      </c>
      <c r="D23" s="4">
        <v>0</v>
      </c>
      <c r="E23" s="4">
        <v>0</v>
      </c>
      <c r="F23" s="4">
        <v>0.5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</row>
    <row r="24" spans="1:36" x14ac:dyDescent="0.25">
      <c r="A24" t="s">
        <v>238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0.5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</row>
    <row r="25" spans="1:36" x14ac:dyDescent="0.25">
      <c r="A25" t="s">
        <v>239</v>
      </c>
      <c r="B25" s="4">
        <v>0</v>
      </c>
      <c r="C25" s="4">
        <v>0</v>
      </c>
      <c r="D25" s="4">
        <v>0</v>
      </c>
      <c r="E25" s="4">
        <v>0</v>
      </c>
      <c r="F25" s="4">
        <v>0.5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</row>
    <row r="26" spans="1:36" x14ac:dyDescent="0.25">
      <c r="A26" t="s">
        <v>113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3">
        <v>0.5</v>
      </c>
      <c r="AG26" s="4">
        <v>0</v>
      </c>
      <c r="AH26" s="4">
        <v>0</v>
      </c>
      <c r="AI26" s="4">
        <v>1</v>
      </c>
      <c r="AJ26" s="4">
        <v>0</v>
      </c>
    </row>
    <row r="27" spans="1:36" x14ac:dyDescent="0.25">
      <c r="A27" t="s">
        <v>240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0.5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0.5</v>
      </c>
      <c r="Q27" s="4">
        <v>0</v>
      </c>
      <c r="R27" s="4">
        <v>0</v>
      </c>
      <c r="S27" s="4">
        <v>0.5</v>
      </c>
      <c r="T27" s="4">
        <v>0</v>
      </c>
      <c r="U27" s="4">
        <v>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</row>
    <row r="28" spans="1:36" x14ac:dyDescent="0.25">
      <c r="A28" t="s">
        <v>241</v>
      </c>
      <c r="B28" s="4">
        <v>0.5</v>
      </c>
      <c r="C28" s="4">
        <v>0.5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</row>
    <row r="29" spans="1:36" x14ac:dyDescent="0.25">
      <c r="A29" t="s">
        <v>242</v>
      </c>
      <c r="B29" s="4">
        <v>0</v>
      </c>
      <c r="C29" s="4">
        <v>0</v>
      </c>
      <c r="D29" s="4">
        <v>0.5</v>
      </c>
      <c r="E29" s="4">
        <v>2</v>
      </c>
      <c r="F29" s="4">
        <v>1</v>
      </c>
      <c r="G29" s="4">
        <v>0.5</v>
      </c>
      <c r="H29" s="4">
        <v>1</v>
      </c>
      <c r="I29" s="4">
        <v>0</v>
      </c>
      <c r="J29" s="4">
        <v>0</v>
      </c>
      <c r="K29" s="4">
        <v>0.5</v>
      </c>
      <c r="L29" s="4">
        <v>0</v>
      </c>
      <c r="M29" s="4">
        <v>0</v>
      </c>
      <c r="N29" s="4">
        <v>1</v>
      </c>
      <c r="O29" s="4">
        <v>1</v>
      </c>
      <c r="P29" s="4">
        <v>1</v>
      </c>
      <c r="Q29" s="4">
        <v>0.5</v>
      </c>
      <c r="R29" s="4">
        <v>0.5</v>
      </c>
      <c r="S29" s="4">
        <v>0</v>
      </c>
      <c r="T29" s="4">
        <v>0.5</v>
      </c>
      <c r="U29" s="4">
        <v>0.5</v>
      </c>
      <c r="V29" s="4">
        <v>0</v>
      </c>
      <c r="W29" s="4">
        <v>0</v>
      </c>
      <c r="X29" s="4">
        <v>0.5</v>
      </c>
      <c r="Y29" s="4">
        <v>0.5</v>
      </c>
      <c r="Z29" s="4">
        <v>0</v>
      </c>
      <c r="AA29" s="4">
        <v>0.5</v>
      </c>
      <c r="AB29" s="4">
        <v>0.5</v>
      </c>
      <c r="AC29" s="4">
        <v>0.5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</row>
    <row r="30" spans="1:36" x14ac:dyDescent="0.25">
      <c r="A30" t="s">
        <v>91</v>
      </c>
      <c r="B30" s="4">
        <v>0</v>
      </c>
      <c r="C30" s="4">
        <v>1</v>
      </c>
      <c r="D30" s="4">
        <v>0</v>
      </c>
      <c r="E30" s="4">
        <v>1</v>
      </c>
      <c r="F30" s="4">
        <v>0.5</v>
      </c>
      <c r="G30" s="4">
        <v>0</v>
      </c>
      <c r="H30" s="4">
        <v>1</v>
      </c>
      <c r="I30" s="4">
        <v>0.5</v>
      </c>
      <c r="J30" s="4">
        <v>0</v>
      </c>
      <c r="K30" s="4">
        <v>0</v>
      </c>
      <c r="L30" s="4">
        <v>0</v>
      </c>
      <c r="M30" s="4">
        <v>0.5</v>
      </c>
      <c r="N30" s="4">
        <v>1</v>
      </c>
      <c r="O30" s="4">
        <v>0</v>
      </c>
      <c r="P30" s="4">
        <v>0.5</v>
      </c>
      <c r="Q30" s="4">
        <v>0.5</v>
      </c>
      <c r="R30" s="4">
        <v>0</v>
      </c>
      <c r="S30" s="4">
        <v>0.5</v>
      </c>
      <c r="T30" s="4">
        <v>0.5</v>
      </c>
      <c r="U30" s="4">
        <v>0</v>
      </c>
      <c r="V30" s="4">
        <v>0</v>
      </c>
      <c r="W30" s="4">
        <v>1</v>
      </c>
      <c r="X30" s="4">
        <v>3</v>
      </c>
      <c r="Y30" s="4">
        <v>0.5</v>
      </c>
      <c r="Z30" s="4">
        <v>0.5</v>
      </c>
      <c r="AA30" s="4">
        <v>0</v>
      </c>
      <c r="AB30" s="4">
        <v>0</v>
      </c>
      <c r="AC30" s="4">
        <v>0</v>
      </c>
      <c r="AD30" s="3">
        <v>0.5</v>
      </c>
      <c r="AE30" s="3">
        <v>0.5</v>
      </c>
      <c r="AF30" s="3">
        <v>0.5</v>
      </c>
      <c r="AG30" s="4">
        <v>0</v>
      </c>
      <c r="AH30" s="4">
        <v>0</v>
      </c>
      <c r="AI30" s="4">
        <v>0</v>
      </c>
      <c r="AJ30" s="4">
        <v>0</v>
      </c>
    </row>
    <row r="31" spans="1:36" x14ac:dyDescent="0.25">
      <c r="A31" t="s">
        <v>243</v>
      </c>
      <c r="B31" s="4">
        <v>0</v>
      </c>
      <c r="C31" s="4">
        <v>0</v>
      </c>
      <c r="D31" s="4">
        <v>0</v>
      </c>
      <c r="E31" s="4">
        <v>0</v>
      </c>
      <c r="F31" s="4">
        <v>0.5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0.5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0.5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0.5</v>
      </c>
      <c r="AA31" s="4">
        <v>0</v>
      </c>
      <c r="AB31" s="4">
        <v>0</v>
      </c>
      <c r="AC31" s="4">
        <v>0</v>
      </c>
      <c r="AD31" s="4">
        <v>0</v>
      </c>
      <c r="AE31" s="4">
        <v>0.5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</row>
    <row r="32" spans="1:36" x14ac:dyDescent="0.25">
      <c r="A32" t="s">
        <v>244</v>
      </c>
      <c r="B32" s="4">
        <v>2</v>
      </c>
      <c r="C32" s="4">
        <v>0.5</v>
      </c>
      <c r="D32" s="4">
        <v>0.5</v>
      </c>
      <c r="E32" s="4">
        <v>0.5</v>
      </c>
      <c r="F32" s="4">
        <v>0</v>
      </c>
      <c r="G32" s="4">
        <v>0</v>
      </c>
      <c r="H32" s="4">
        <v>1</v>
      </c>
      <c r="I32" s="4">
        <v>0</v>
      </c>
      <c r="J32" s="4">
        <v>0.5</v>
      </c>
      <c r="K32" s="4">
        <v>0</v>
      </c>
      <c r="L32" s="4">
        <v>0</v>
      </c>
      <c r="M32" s="4">
        <v>0</v>
      </c>
      <c r="N32" s="4">
        <v>0</v>
      </c>
      <c r="O32" s="4">
        <v>0.5</v>
      </c>
      <c r="P32" s="4">
        <v>0</v>
      </c>
      <c r="Q32" s="4">
        <v>0</v>
      </c>
      <c r="R32" s="4">
        <v>0.5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>
        <v>0</v>
      </c>
      <c r="Z32" s="4">
        <v>0.5</v>
      </c>
      <c r="AA32" s="4">
        <v>0.5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</row>
    <row r="33" spans="1:37" x14ac:dyDescent="0.25">
      <c r="A33" t="s">
        <v>245</v>
      </c>
      <c r="B33" s="4">
        <v>0</v>
      </c>
      <c r="C33" s="4">
        <v>0</v>
      </c>
      <c r="D33" s="4">
        <v>0</v>
      </c>
      <c r="E33" s="4">
        <v>0</v>
      </c>
      <c r="F33" s="4">
        <v>2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0.5</v>
      </c>
      <c r="W33" s="4">
        <v>0</v>
      </c>
      <c r="X33" s="4">
        <v>0</v>
      </c>
      <c r="Y33" s="4">
        <v>0</v>
      </c>
      <c r="Z33" s="4">
        <v>0.5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</row>
    <row r="34" spans="1:37" x14ac:dyDescent="0.25">
      <c r="A34" t="s">
        <v>246</v>
      </c>
      <c r="B34" s="4">
        <v>0.5</v>
      </c>
      <c r="C34" s="4">
        <v>0</v>
      </c>
      <c r="D34" s="4">
        <v>0</v>
      </c>
      <c r="E34" s="4">
        <v>2</v>
      </c>
      <c r="F34" s="4">
        <v>0</v>
      </c>
      <c r="G34" s="4">
        <v>2</v>
      </c>
      <c r="H34" s="4">
        <v>1</v>
      </c>
      <c r="I34" s="4">
        <v>0</v>
      </c>
      <c r="J34" s="4">
        <v>1</v>
      </c>
      <c r="K34" s="4">
        <v>0</v>
      </c>
      <c r="L34" s="4">
        <v>0</v>
      </c>
      <c r="M34" s="4">
        <v>1</v>
      </c>
      <c r="N34" s="4">
        <v>2</v>
      </c>
      <c r="O34" s="4">
        <v>2</v>
      </c>
      <c r="P34" s="4">
        <v>2</v>
      </c>
      <c r="Q34" s="4">
        <v>1</v>
      </c>
      <c r="R34" s="4">
        <v>2</v>
      </c>
      <c r="S34" s="4">
        <v>2</v>
      </c>
      <c r="T34" s="4">
        <v>0</v>
      </c>
      <c r="U34" s="4">
        <v>2</v>
      </c>
      <c r="V34" s="4">
        <v>1</v>
      </c>
      <c r="W34" s="4">
        <v>0</v>
      </c>
      <c r="X34" s="4">
        <v>2</v>
      </c>
      <c r="Y34" s="4">
        <v>1</v>
      </c>
      <c r="Z34" s="4">
        <v>1</v>
      </c>
      <c r="AA34" s="4">
        <v>0.5</v>
      </c>
      <c r="AB34" s="4">
        <v>0.5</v>
      </c>
      <c r="AC34" s="4">
        <v>0.5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4</v>
      </c>
    </row>
    <row r="35" spans="1:37" x14ac:dyDescent="0.25">
      <c r="A35" t="s">
        <v>247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0.5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</row>
    <row r="36" spans="1:37" x14ac:dyDescent="0.25">
      <c r="A36" t="s">
        <v>97</v>
      </c>
      <c r="B36" s="4">
        <v>2</v>
      </c>
      <c r="C36" s="4">
        <v>3</v>
      </c>
      <c r="D36" s="4">
        <v>1</v>
      </c>
      <c r="E36" s="4">
        <v>0.5</v>
      </c>
      <c r="F36" s="4">
        <v>1</v>
      </c>
      <c r="G36" s="4">
        <v>3</v>
      </c>
      <c r="H36" s="4">
        <v>0.5</v>
      </c>
      <c r="I36" s="4">
        <v>1</v>
      </c>
      <c r="J36" s="4">
        <v>1</v>
      </c>
      <c r="K36" s="4">
        <v>0.5</v>
      </c>
      <c r="L36" s="4">
        <v>1</v>
      </c>
      <c r="M36" s="4">
        <v>1</v>
      </c>
      <c r="N36" s="4">
        <v>2</v>
      </c>
      <c r="O36" s="4">
        <v>2</v>
      </c>
      <c r="P36" s="4">
        <v>1</v>
      </c>
      <c r="Q36" s="4">
        <v>2</v>
      </c>
      <c r="R36" s="4">
        <v>1</v>
      </c>
      <c r="S36" s="4">
        <v>1</v>
      </c>
      <c r="T36" s="4">
        <v>1</v>
      </c>
      <c r="U36" s="4">
        <v>2</v>
      </c>
      <c r="V36" s="4">
        <v>1</v>
      </c>
      <c r="W36" s="4">
        <v>5</v>
      </c>
      <c r="X36" s="4">
        <v>1</v>
      </c>
      <c r="Y36" s="4">
        <v>1</v>
      </c>
      <c r="Z36" s="4">
        <v>2</v>
      </c>
      <c r="AA36" s="4">
        <v>0</v>
      </c>
      <c r="AB36" s="4">
        <v>1</v>
      </c>
      <c r="AC36" s="4">
        <v>1</v>
      </c>
      <c r="AD36" s="4">
        <v>0</v>
      </c>
      <c r="AE36" s="4">
        <v>3</v>
      </c>
      <c r="AF36" s="4">
        <v>3</v>
      </c>
      <c r="AG36" s="4">
        <v>2</v>
      </c>
      <c r="AH36" s="4">
        <v>0</v>
      </c>
      <c r="AI36" s="4">
        <v>2</v>
      </c>
      <c r="AJ36" s="4">
        <v>0</v>
      </c>
    </row>
    <row r="37" spans="1:37" x14ac:dyDescent="0.25">
      <c r="A37" t="s">
        <v>248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0.5</v>
      </c>
      <c r="O37" s="4">
        <v>0</v>
      </c>
      <c r="P37" s="4">
        <v>0</v>
      </c>
      <c r="Q37" s="4">
        <v>0</v>
      </c>
      <c r="R37" s="4">
        <v>0</v>
      </c>
      <c r="S37" s="4">
        <v>0.5</v>
      </c>
      <c r="T37" s="4">
        <v>0.5</v>
      </c>
      <c r="U37" s="4">
        <v>0.5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</row>
    <row r="38" spans="1:37" x14ac:dyDescent="0.25">
      <c r="A38" t="s">
        <v>98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2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</row>
    <row r="39" spans="1:37" x14ac:dyDescent="0.25">
      <c r="A39" t="s">
        <v>249</v>
      </c>
      <c r="B39" s="4">
        <v>1</v>
      </c>
      <c r="C39" s="4">
        <v>0</v>
      </c>
      <c r="D39" s="4">
        <v>0</v>
      </c>
      <c r="E39" s="4">
        <v>0</v>
      </c>
      <c r="F39" s="4">
        <v>1</v>
      </c>
      <c r="G39" s="4">
        <v>1</v>
      </c>
      <c r="H39" s="4">
        <v>1</v>
      </c>
      <c r="I39" s="4">
        <v>0</v>
      </c>
      <c r="J39" s="4">
        <v>0</v>
      </c>
      <c r="K39" s="4">
        <v>0.5</v>
      </c>
      <c r="L39" s="4">
        <v>0</v>
      </c>
      <c r="M39" s="4">
        <v>0</v>
      </c>
      <c r="N39" s="4">
        <v>1</v>
      </c>
      <c r="O39" s="4">
        <v>0</v>
      </c>
      <c r="P39" s="4">
        <v>0</v>
      </c>
      <c r="Q39" s="4">
        <v>1</v>
      </c>
      <c r="R39" s="4">
        <v>0</v>
      </c>
      <c r="S39" s="4">
        <v>0</v>
      </c>
      <c r="T39" s="4">
        <v>0</v>
      </c>
      <c r="U39" s="4">
        <v>1</v>
      </c>
      <c r="V39" s="4">
        <v>4</v>
      </c>
      <c r="W39" s="4">
        <v>0</v>
      </c>
      <c r="X39" s="4">
        <v>3</v>
      </c>
      <c r="Y39" s="4">
        <v>0</v>
      </c>
      <c r="Z39" s="4">
        <v>2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/>
    </row>
    <row r="40" spans="1:37" x14ac:dyDescent="0.25">
      <c r="A40" t="s">
        <v>250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0.5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</row>
    <row r="41" spans="1:37" x14ac:dyDescent="0.25">
      <c r="A41" t="s">
        <v>118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</v>
      </c>
      <c r="AH41" s="4">
        <v>0</v>
      </c>
      <c r="AI41" s="4">
        <v>0</v>
      </c>
      <c r="AJ41" s="4">
        <v>0</v>
      </c>
    </row>
    <row r="42" spans="1:37" x14ac:dyDescent="0.25">
      <c r="A42" t="s">
        <v>105</v>
      </c>
      <c r="B42" s="4">
        <v>1</v>
      </c>
      <c r="C42" s="4">
        <v>0</v>
      </c>
      <c r="D42" s="4">
        <v>0</v>
      </c>
      <c r="E42" s="4">
        <v>0.5</v>
      </c>
      <c r="F42" s="4">
        <v>0</v>
      </c>
      <c r="G42" s="4">
        <v>0</v>
      </c>
      <c r="H42" s="4">
        <v>0.5</v>
      </c>
      <c r="I42" s="4">
        <v>0</v>
      </c>
      <c r="J42" s="4">
        <v>0</v>
      </c>
      <c r="K42" s="4">
        <v>0</v>
      </c>
      <c r="L42" s="4">
        <v>0</v>
      </c>
      <c r="M42" s="4">
        <v>0.5</v>
      </c>
      <c r="N42" s="4">
        <v>0</v>
      </c>
      <c r="O42" s="4">
        <v>0</v>
      </c>
      <c r="P42" s="4">
        <v>0</v>
      </c>
      <c r="Q42" s="4">
        <v>0.5</v>
      </c>
      <c r="R42" s="4">
        <v>0</v>
      </c>
      <c r="S42" s="4">
        <v>0</v>
      </c>
      <c r="T42" s="4">
        <v>0</v>
      </c>
      <c r="U42" s="4">
        <v>0</v>
      </c>
      <c r="V42" s="4">
        <v>2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0.5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</row>
    <row r="43" spans="1:37" x14ac:dyDescent="0.25">
      <c r="A43" t="s">
        <v>251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1</v>
      </c>
      <c r="T43" s="4">
        <v>0</v>
      </c>
      <c r="U43" s="4">
        <v>0.5</v>
      </c>
      <c r="V43" s="4">
        <v>0.5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</row>
    <row r="44" spans="1:37" x14ac:dyDescent="0.25">
      <c r="A44" t="s">
        <v>110</v>
      </c>
      <c r="B44" s="4">
        <v>0</v>
      </c>
      <c r="C44" s="4">
        <v>0</v>
      </c>
      <c r="D44" s="4">
        <v>0</v>
      </c>
      <c r="E44" s="4">
        <v>0.5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0.5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0.5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0.5</v>
      </c>
      <c r="AG44" s="4">
        <v>0</v>
      </c>
      <c r="AH44" s="4">
        <v>0</v>
      </c>
      <c r="AI44" s="4">
        <v>0</v>
      </c>
      <c r="AJ44" s="4">
        <v>0</v>
      </c>
    </row>
    <row r="45" spans="1:37" x14ac:dyDescent="0.25">
      <c r="A45" t="s">
        <v>252</v>
      </c>
      <c r="B45" s="4">
        <v>0</v>
      </c>
      <c r="C45" s="4">
        <v>1</v>
      </c>
      <c r="D45" s="4">
        <v>0.5</v>
      </c>
      <c r="E45" s="4">
        <v>0.5</v>
      </c>
      <c r="F45" s="4">
        <v>0</v>
      </c>
      <c r="G45" s="4">
        <v>0.5</v>
      </c>
      <c r="H45" s="4">
        <v>0.5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0.5</v>
      </c>
      <c r="P45" s="4">
        <v>0.5</v>
      </c>
      <c r="Q45" s="4">
        <v>0</v>
      </c>
      <c r="R45" s="4">
        <v>0.5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0.5</v>
      </c>
      <c r="Y45" s="4">
        <v>0.5</v>
      </c>
      <c r="Z45" s="4">
        <v>0</v>
      </c>
      <c r="AA45" s="4">
        <v>0</v>
      </c>
      <c r="AB45" s="4">
        <v>0.5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</row>
    <row r="46" spans="1:37" x14ac:dyDescent="0.25">
      <c r="A46" t="s">
        <v>253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</row>
    <row r="47" spans="1:37" x14ac:dyDescent="0.25">
      <c r="A47" t="s">
        <v>254</v>
      </c>
      <c r="B47" s="4">
        <v>0</v>
      </c>
      <c r="C47" s="4">
        <v>0</v>
      </c>
      <c r="D47" s="4">
        <v>0</v>
      </c>
      <c r="E47" s="4">
        <v>0</v>
      </c>
      <c r="F47" s="4">
        <v>0.5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</row>
    <row r="48" spans="1:37" x14ac:dyDescent="0.25">
      <c r="A48" t="s">
        <v>255</v>
      </c>
      <c r="B48" s="4">
        <v>0</v>
      </c>
      <c r="C48" s="4">
        <v>0</v>
      </c>
      <c r="D48" s="4">
        <v>1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</row>
    <row r="49" spans="1:36" x14ac:dyDescent="0.25">
      <c r="A49" t="s">
        <v>94</v>
      </c>
      <c r="B49" s="4">
        <v>1</v>
      </c>
      <c r="C49" s="4">
        <v>1</v>
      </c>
      <c r="D49" s="4">
        <v>1</v>
      </c>
      <c r="E49" s="4">
        <v>1</v>
      </c>
      <c r="F49" s="4">
        <v>1</v>
      </c>
      <c r="G49" s="4">
        <v>2</v>
      </c>
      <c r="H49" s="4">
        <v>0.5</v>
      </c>
      <c r="I49" s="4">
        <v>0.5</v>
      </c>
      <c r="J49" s="4">
        <v>2</v>
      </c>
      <c r="K49" s="4">
        <v>2</v>
      </c>
      <c r="L49" s="4">
        <v>0</v>
      </c>
      <c r="M49" s="4">
        <v>2</v>
      </c>
      <c r="N49" s="4">
        <v>3</v>
      </c>
      <c r="O49" s="4">
        <v>2</v>
      </c>
      <c r="P49" s="4">
        <v>1</v>
      </c>
      <c r="Q49" s="4">
        <v>3</v>
      </c>
      <c r="R49" s="4">
        <v>1</v>
      </c>
      <c r="S49" s="4">
        <v>2</v>
      </c>
      <c r="T49" s="4">
        <v>0</v>
      </c>
      <c r="U49" s="4">
        <v>2</v>
      </c>
      <c r="V49" s="4">
        <v>1</v>
      </c>
      <c r="W49" s="4">
        <v>0</v>
      </c>
      <c r="X49" s="4">
        <v>1</v>
      </c>
      <c r="Y49" s="4">
        <v>1</v>
      </c>
      <c r="Z49" s="4">
        <v>1</v>
      </c>
      <c r="AA49" s="4">
        <v>0.5</v>
      </c>
      <c r="AB49" s="4">
        <v>3</v>
      </c>
      <c r="AC49" s="4">
        <v>0</v>
      </c>
      <c r="AD49" s="4">
        <v>1</v>
      </c>
      <c r="AE49" s="4">
        <v>1</v>
      </c>
      <c r="AF49" s="4">
        <v>2</v>
      </c>
      <c r="AG49" s="4">
        <v>0</v>
      </c>
      <c r="AH49" s="4">
        <v>3</v>
      </c>
      <c r="AI49" s="4">
        <v>2</v>
      </c>
      <c r="AJ49" s="4">
        <v>2</v>
      </c>
    </row>
    <row r="50" spans="1:36" x14ac:dyDescent="0.25">
      <c r="A50" t="s">
        <v>256</v>
      </c>
      <c r="B50" s="4">
        <v>0.5</v>
      </c>
      <c r="C50" s="4">
        <v>0</v>
      </c>
      <c r="D50" s="4">
        <v>0</v>
      </c>
      <c r="E50" s="4">
        <v>0</v>
      </c>
      <c r="F50" s="4">
        <v>0.5</v>
      </c>
      <c r="G50" s="4">
        <v>0.5</v>
      </c>
      <c r="H50" s="4">
        <v>0.5</v>
      </c>
      <c r="I50" s="4">
        <v>0</v>
      </c>
      <c r="J50" s="4">
        <v>0.5</v>
      </c>
      <c r="K50" s="4">
        <v>0.5</v>
      </c>
      <c r="L50" s="4">
        <v>0</v>
      </c>
      <c r="M50" s="4">
        <v>0</v>
      </c>
      <c r="N50" s="4">
        <v>0.5</v>
      </c>
      <c r="O50" s="4">
        <v>0</v>
      </c>
      <c r="P50" s="4">
        <v>0</v>
      </c>
      <c r="Q50" s="4">
        <v>0.5</v>
      </c>
      <c r="R50" s="4">
        <v>0</v>
      </c>
      <c r="S50" s="4">
        <v>0</v>
      </c>
      <c r="T50" s="4">
        <v>0</v>
      </c>
      <c r="U50" s="4">
        <v>0</v>
      </c>
      <c r="V50" s="4">
        <v>0.5</v>
      </c>
      <c r="W50" s="4">
        <v>0</v>
      </c>
      <c r="X50" s="4">
        <v>0.5</v>
      </c>
      <c r="Y50" s="4">
        <v>0.5</v>
      </c>
      <c r="Z50" s="4">
        <v>0.5</v>
      </c>
      <c r="AA50" s="4">
        <v>0.5</v>
      </c>
      <c r="AB50" s="4">
        <v>0</v>
      </c>
      <c r="AC50" s="4">
        <v>0.5</v>
      </c>
      <c r="AD50" s="4">
        <v>0.5</v>
      </c>
      <c r="AE50" s="4">
        <v>0.5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</row>
    <row r="51" spans="1:36" x14ac:dyDescent="0.25">
      <c r="A51" t="s">
        <v>106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1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</row>
    <row r="52" spans="1:36" x14ac:dyDescent="0.25">
      <c r="A52" t="s">
        <v>114</v>
      </c>
      <c r="B52" s="4">
        <v>0.5</v>
      </c>
      <c r="C52" s="4">
        <v>0</v>
      </c>
      <c r="D52" s="4">
        <v>0.5</v>
      </c>
      <c r="E52" s="4">
        <v>0</v>
      </c>
      <c r="F52" s="4">
        <v>0</v>
      </c>
      <c r="G52" s="4">
        <v>0</v>
      </c>
      <c r="H52" s="4">
        <v>1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0.5</v>
      </c>
      <c r="R52" s="4">
        <v>0</v>
      </c>
      <c r="S52" s="4">
        <v>0.5</v>
      </c>
      <c r="T52" s="4">
        <v>0.5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0.5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0.5</v>
      </c>
      <c r="AH52" s="4">
        <v>0.5</v>
      </c>
      <c r="AI52" s="4">
        <v>0.5</v>
      </c>
      <c r="AJ52" s="4">
        <v>0</v>
      </c>
    </row>
    <row r="53" spans="1:36" x14ac:dyDescent="0.25">
      <c r="A53" t="s">
        <v>257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0.5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0.5</v>
      </c>
      <c r="AH53" s="4">
        <v>0</v>
      </c>
      <c r="AI53" s="4">
        <v>0</v>
      </c>
      <c r="AJ53" s="4">
        <v>0</v>
      </c>
    </row>
    <row r="54" spans="1:36" x14ac:dyDescent="0.25">
      <c r="A54" t="s">
        <v>92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1</v>
      </c>
      <c r="I54" s="4">
        <v>0</v>
      </c>
      <c r="J54" s="4">
        <v>0</v>
      </c>
      <c r="K54" s="4">
        <v>1</v>
      </c>
      <c r="L54" s="4">
        <v>0</v>
      </c>
      <c r="M54" s="4">
        <v>0</v>
      </c>
      <c r="N54" s="4">
        <v>1</v>
      </c>
      <c r="O54" s="4">
        <v>0</v>
      </c>
      <c r="P54" s="4">
        <v>0</v>
      </c>
      <c r="Q54" s="4">
        <v>0.5</v>
      </c>
      <c r="R54" s="4">
        <v>0</v>
      </c>
      <c r="S54" s="4">
        <v>0.5</v>
      </c>
      <c r="T54" s="4">
        <v>0</v>
      </c>
      <c r="U54" s="4">
        <v>0</v>
      </c>
      <c r="V54" s="4">
        <v>0.5</v>
      </c>
      <c r="W54" s="4">
        <v>0</v>
      </c>
      <c r="X54" s="4">
        <v>0.5</v>
      </c>
      <c r="Y54" s="4">
        <v>0</v>
      </c>
      <c r="Z54" s="4">
        <v>0</v>
      </c>
      <c r="AA54" s="4">
        <v>0</v>
      </c>
      <c r="AB54" s="4">
        <v>0</v>
      </c>
      <c r="AC54" s="4">
        <v>0.5</v>
      </c>
      <c r="AD54" s="4">
        <v>0.5</v>
      </c>
      <c r="AE54" s="4">
        <v>0</v>
      </c>
      <c r="AF54" s="4">
        <v>0</v>
      </c>
      <c r="AG54" s="4">
        <v>0</v>
      </c>
      <c r="AH54" s="4">
        <v>0</v>
      </c>
      <c r="AI54" s="4">
        <v>2</v>
      </c>
      <c r="AJ54" s="4">
        <v>0</v>
      </c>
    </row>
    <row r="55" spans="1:36" x14ac:dyDescent="0.25">
      <c r="A55" t="s">
        <v>90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0.5</v>
      </c>
      <c r="AE55" s="4">
        <v>0</v>
      </c>
      <c r="AF55" s="4">
        <v>0.5</v>
      </c>
      <c r="AG55" s="4">
        <v>0</v>
      </c>
      <c r="AH55" s="4">
        <v>0</v>
      </c>
      <c r="AI55" s="4">
        <v>0.5</v>
      </c>
      <c r="AJ55" s="4">
        <v>0.5</v>
      </c>
    </row>
    <row r="56" spans="1:36" x14ac:dyDescent="0.25">
      <c r="A56" t="s">
        <v>258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0.5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</row>
    <row r="57" spans="1:36" x14ac:dyDescent="0.25">
      <c r="A57" t="s">
        <v>259</v>
      </c>
      <c r="B57" s="4">
        <v>0</v>
      </c>
      <c r="C57" s="4">
        <v>0</v>
      </c>
      <c r="D57" s="4">
        <v>0</v>
      </c>
      <c r="E57" s="4">
        <v>0</v>
      </c>
      <c r="F57" s="4">
        <v>0.5</v>
      </c>
      <c r="G57" s="4">
        <v>0</v>
      </c>
      <c r="H57" s="4">
        <v>0</v>
      </c>
      <c r="I57" s="4">
        <v>0.5</v>
      </c>
      <c r="J57" s="4">
        <v>0</v>
      </c>
      <c r="K57" s="4">
        <v>0</v>
      </c>
      <c r="L57" s="4">
        <v>1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3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3</v>
      </c>
      <c r="AH57" s="4">
        <v>0</v>
      </c>
      <c r="AI57" s="4">
        <v>0</v>
      </c>
      <c r="AJ57" s="4">
        <v>0</v>
      </c>
    </row>
    <row r="58" spans="1:36" x14ac:dyDescent="0.25">
      <c r="A58" t="s">
        <v>89</v>
      </c>
      <c r="B58" s="4">
        <v>3</v>
      </c>
      <c r="C58" s="4">
        <v>3</v>
      </c>
      <c r="D58" s="4">
        <v>2</v>
      </c>
      <c r="E58" s="4">
        <v>4</v>
      </c>
      <c r="F58" s="4">
        <v>3</v>
      </c>
      <c r="G58" s="4">
        <v>2</v>
      </c>
      <c r="H58" s="4">
        <v>2</v>
      </c>
      <c r="I58" s="4">
        <v>1</v>
      </c>
      <c r="J58" s="4">
        <v>3</v>
      </c>
      <c r="K58" s="4">
        <v>1</v>
      </c>
      <c r="L58" s="4">
        <v>1</v>
      </c>
      <c r="M58" s="4">
        <v>2</v>
      </c>
      <c r="N58" s="4">
        <v>0.5</v>
      </c>
      <c r="O58" s="4">
        <v>1</v>
      </c>
      <c r="P58" s="4">
        <v>4</v>
      </c>
      <c r="Q58" s="4">
        <v>3</v>
      </c>
      <c r="R58" s="4">
        <v>2</v>
      </c>
      <c r="S58" s="4">
        <v>1</v>
      </c>
      <c r="T58" s="4">
        <v>3</v>
      </c>
      <c r="U58" s="4">
        <v>2</v>
      </c>
      <c r="V58" s="4">
        <v>0</v>
      </c>
      <c r="W58" s="4">
        <v>0.5</v>
      </c>
      <c r="X58" s="4">
        <v>3</v>
      </c>
      <c r="Y58" s="4">
        <v>2</v>
      </c>
      <c r="Z58" s="4">
        <v>0.5</v>
      </c>
      <c r="AA58" s="4">
        <v>0</v>
      </c>
      <c r="AB58" s="4">
        <v>3</v>
      </c>
      <c r="AC58" s="4">
        <v>4</v>
      </c>
      <c r="AD58" s="4">
        <v>1</v>
      </c>
      <c r="AE58" s="4">
        <v>0</v>
      </c>
      <c r="AF58" s="4">
        <v>2</v>
      </c>
      <c r="AG58" s="4">
        <v>0</v>
      </c>
      <c r="AH58" s="4">
        <v>0</v>
      </c>
      <c r="AI58" s="4">
        <v>0</v>
      </c>
      <c r="AJ58" s="4">
        <v>2</v>
      </c>
    </row>
    <row r="59" spans="1:36" x14ac:dyDescent="0.25">
      <c r="A59" t="s">
        <v>260</v>
      </c>
      <c r="B59" s="4">
        <v>0</v>
      </c>
      <c r="C59" s="4">
        <v>0</v>
      </c>
      <c r="D59" s="4">
        <v>0</v>
      </c>
      <c r="E59" s="4">
        <v>0</v>
      </c>
      <c r="F59" s="4">
        <v>1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0.5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</row>
    <row r="60" spans="1:36" x14ac:dyDescent="0.25">
      <c r="A60" t="s">
        <v>101</v>
      </c>
      <c r="B60" s="4">
        <v>0.5</v>
      </c>
      <c r="C60" s="4">
        <v>0</v>
      </c>
      <c r="D60" s="4">
        <v>0</v>
      </c>
      <c r="E60" s="4">
        <v>0</v>
      </c>
      <c r="F60" s="4">
        <v>0.5</v>
      </c>
      <c r="G60" s="4">
        <v>0</v>
      </c>
      <c r="H60" s="4">
        <v>0.5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1</v>
      </c>
      <c r="Q60" s="4">
        <v>0</v>
      </c>
      <c r="R60" s="4">
        <v>0</v>
      </c>
      <c r="S60" s="4">
        <v>0.5</v>
      </c>
      <c r="T60" s="4">
        <v>0.5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0.5</v>
      </c>
      <c r="AF60" s="4">
        <v>0.5</v>
      </c>
      <c r="AG60" s="4">
        <v>1</v>
      </c>
      <c r="AH60" s="4">
        <v>0</v>
      </c>
      <c r="AI60" s="4">
        <v>0.5</v>
      </c>
      <c r="AJ60" s="4">
        <v>0</v>
      </c>
    </row>
    <row r="61" spans="1:36" x14ac:dyDescent="0.25">
      <c r="A61" t="s">
        <v>261</v>
      </c>
      <c r="B61" s="4">
        <v>0</v>
      </c>
      <c r="C61" s="4">
        <v>0</v>
      </c>
      <c r="D61" s="4">
        <v>0</v>
      </c>
      <c r="E61" s="4">
        <v>0</v>
      </c>
      <c r="F61" s="4">
        <v>0.5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</row>
    <row r="62" spans="1:36" x14ac:dyDescent="0.25">
      <c r="A62" t="s">
        <v>296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0.5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0.5</v>
      </c>
      <c r="AJ62" s="4">
        <v>0</v>
      </c>
    </row>
    <row r="63" spans="1:36" x14ac:dyDescent="0.25">
      <c r="A63" t="s">
        <v>262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0.5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</row>
    <row r="64" spans="1:36" x14ac:dyDescent="0.25">
      <c r="A64" t="s">
        <v>263</v>
      </c>
      <c r="B64" s="4">
        <v>0</v>
      </c>
      <c r="C64" s="4">
        <v>0.5</v>
      </c>
      <c r="D64" s="4">
        <v>0</v>
      </c>
      <c r="E64" s="4">
        <v>0.5</v>
      </c>
      <c r="F64" s="4">
        <v>0</v>
      </c>
      <c r="G64" s="4">
        <v>0</v>
      </c>
      <c r="H64" s="4">
        <v>0.5</v>
      </c>
      <c r="I64" s="4">
        <v>0</v>
      </c>
      <c r="J64" s="4">
        <v>0</v>
      </c>
      <c r="K64" s="4">
        <v>0.5</v>
      </c>
      <c r="L64" s="4">
        <v>0</v>
      </c>
      <c r="M64" s="4">
        <v>0</v>
      </c>
      <c r="N64" s="4">
        <v>0.5</v>
      </c>
      <c r="O64" s="4">
        <v>0</v>
      </c>
      <c r="P64" s="4">
        <v>0.5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0.5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</row>
    <row r="65" spans="1:36" x14ac:dyDescent="0.25">
      <c r="A65" t="s">
        <v>264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0.5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0.5</v>
      </c>
      <c r="O65" s="4">
        <v>0</v>
      </c>
      <c r="P65" s="4">
        <v>0</v>
      </c>
      <c r="Q65" s="4">
        <v>0</v>
      </c>
      <c r="R65" s="4">
        <v>0</v>
      </c>
      <c r="S65" s="4">
        <v>0.5</v>
      </c>
      <c r="T65" s="4">
        <v>0.5</v>
      </c>
      <c r="U65" s="4">
        <v>0</v>
      </c>
      <c r="V65" s="4">
        <v>0</v>
      </c>
      <c r="W65" s="4">
        <v>0</v>
      </c>
      <c r="X65" s="4">
        <v>0.5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</row>
    <row r="66" spans="1:36" x14ac:dyDescent="0.25">
      <c r="A66" t="s">
        <v>265</v>
      </c>
      <c r="B66" s="4">
        <v>0.5</v>
      </c>
      <c r="C66" s="4">
        <v>0</v>
      </c>
      <c r="D66" s="4">
        <v>0</v>
      </c>
      <c r="E66" s="4">
        <v>0.5</v>
      </c>
      <c r="F66" s="4">
        <v>0</v>
      </c>
      <c r="G66" s="4">
        <v>0</v>
      </c>
      <c r="H66" s="4">
        <v>0.5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0.5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</row>
    <row r="67" spans="1:36" x14ac:dyDescent="0.25">
      <c r="A67" t="s">
        <v>266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</row>
    <row r="68" spans="1:36" x14ac:dyDescent="0.25">
      <c r="A68" t="s">
        <v>267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0.5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</row>
    <row r="69" spans="1:36" x14ac:dyDescent="0.25">
      <c r="A69" t="s">
        <v>268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0.5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</row>
    <row r="70" spans="1:36" x14ac:dyDescent="0.25">
      <c r="A70" t="s">
        <v>269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0.5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</row>
    <row r="71" spans="1:36" x14ac:dyDescent="0.25">
      <c r="A71" t="s">
        <v>119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0.5</v>
      </c>
      <c r="AH71" s="4">
        <v>0</v>
      </c>
      <c r="AI71" s="4">
        <v>0</v>
      </c>
      <c r="AJ71" s="4">
        <v>0</v>
      </c>
    </row>
    <row r="72" spans="1:36" x14ac:dyDescent="0.25">
      <c r="A72" t="s">
        <v>84</v>
      </c>
      <c r="B72" s="4">
        <v>1</v>
      </c>
      <c r="C72" s="4">
        <v>1</v>
      </c>
      <c r="D72" s="4">
        <v>0.5</v>
      </c>
      <c r="E72" s="4">
        <v>0.5</v>
      </c>
      <c r="F72" s="4">
        <v>1</v>
      </c>
      <c r="G72" s="4">
        <v>0</v>
      </c>
      <c r="H72" s="4">
        <v>1</v>
      </c>
      <c r="I72" s="4">
        <v>0.5</v>
      </c>
      <c r="J72" s="4">
        <v>0</v>
      </c>
      <c r="K72" s="4">
        <v>0</v>
      </c>
      <c r="L72" s="4">
        <v>0</v>
      </c>
      <c r="M72" s="4">
        <v>1</v>
      </c>
      <c r="N72" s="4">
        <v>1</v>
      </c>
      <c r="O72" s="4">
        <v>1</v>
      </c>
      <c r="P72" s="4">
        <v>1</v>
      </c>
      <c r="Q72" s="4">
        <v>0</v>
      </c>
      <c r="R72" s="4">
        <v>0.5</v>
      </c>
      <c r="S72" s="4">
        <v>0.5</v>
      </c>
      <c r="T72" s="4">
        <v>1</v>
      </c>
      <c r="U72" s="4">
        <v>0</v>
      </c>
      <c r="V72" s="4">
        <v>0.5</v>
      </c>
      <c r="W72" s="4">
        <v>3</v>
      </c>
      <c r="X72" s="4">
        <v>0.5</v>
      </c>
      <c r="Y72" s="4">
        <v>0.5</v>
      </c>
      <c r="Z72" s="4">
        <v>0.5</v>
      </c>
      <c r="AA72" s="4">
        <v>2</v>
      </c>
      <c r="AB72" s="4">
        <v>1</v>
      </c>
      <c r="AC72" s="4">
        <v>0</v>
      </c>
      <c r="AD72" s="4">
        <v>3</v>
      </c>
      <c r="AE72" s="4">
        <v>3</v>
      </c>
      <c r="AF72" s="4">
        <v>3</v>
      </c>
      <c r="AG72" s="4">
        <v>2</v>
      </c>
      <c r="AH72" s="4">
        <v>2</v>
      </c>
      <c r="AI72" s="4">
        <v>2</v>
      </c>
      <c r="AJ72" s="4">
        <v>1</v>
      </c>
    </row>
    <row r="73" spans="1:36" x14ac:dyDescent="0.25">
      <c r="A73" t="s">
        <v>270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1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</row>
    <row r="74" spans="1:36" x14ac:dyDescent="0.25">
      <c r="A74" t="s">
        <v>104</v>
      </c>
      <c r="B74" s="4">
        <v>2</v>
      </c>
      <c r="C74" s="4">
        <v>0</v>
      </c>
      <c r="D74" s="4">
        <v>0</v>
      </c>
      <c r="E74" s="4">
        <v>0</v>
      </c>
      <c r="F74" s="4">
        <v>1</v>
      </c>
      <c r="G74" s="4">
        <v>0</v>
      </c>
      <c r="H74" s="4">
        <v>0</v>
      </c>
      <c r="I74" s="4">
        <v>4</v>
      </c>
      <c r="J74" s="4">
        <v>0</v>
      </c>
      <c r="K74" s="4">
        <v>0</v>
      </c>
      <c r="L74" s="4">
        <v>0</v>
      </c>
      <c r="M74" s="4">
        <v>0</v>
      </c>
      <c r="N74" s="4">
        <v>1</v>
      </c>
      <c r="O74" s="4">
        <v>0.5</v>
      </c>
      <c r="P74" s="4">
        <v>1</v>
      </c>
      <c r="Q74" s="4">
        <v>2</v>
      </c>
      <c r="R74" s="4">
        <v>2</v>
      </c>
      <c r="S74" s="4">
        <v>1</v>
      </c>
      <c r="T74" s="4">
        <v>0</v>
      </c>
      <c r="U74" s="4">
        <v>0</v>
      </c>
      <c r="V74" s="4">
        <v>0</v>
      </c>
      <c r="W74" s="4">
        <v>0</v>
      </c>
      <c r="X74" s="4">
        <v>1</v>
      </c>
      <c r="Y74" s="4">
        <v>0</v>
      </c>
      <c r="Z74" s="4">
        <v>0</v>
      </c>
      <c r="AA74" s="4">
        <v>0</v>
      </c>
      <c r="AB74" s="4">
        <v>0</v>
      </c>
      <c r="AC74" s="4">
        <v>2</v>
      </c>
      <c r="AD74" s="4">
        <v>0</v>
      </c>
      <c r="AE74" s="4">
        <v>1</v>
      </c>
      <c r="AF74" s="4">
        <v>0</v>
      </c>
      <c r="AG74" s="4">
        <v>1</v>
      </c>
      <c r="AH74" s="4">
        <v>0</v>
      </c>
      <c r="AI74" s="4">
        <v>0</v>
      </c>
      <c r="AJ74" s="4">
        <v>0</v>
      </c>
    </row>
    <row r="75" spans="1:36" x14ac:dyDescent="0.25">
      <c r="A75" t="s">
        <v>111</v>
      </c>
      <c r="B75" s="4">
        <v>0</v>
      </c>
      <c r="C75" s="4">
        <v>3</v>
      </c>
      <c r="D75" s="4">
        <v>1</v>
      </c>
      <c r="E75" s="4">
        <v>2</v>
      </c>
      <c r="F75" s="4">
        <v>2</v>
      </c>
      <c r="G75" s="4">
        <v>2</v>
      </c>
      <c r="H75" s="4">
        <v>1</v>
      </c>
      <c r="I75" s="4">
        <v>0</v>
      </c>
      <c r="J75" s="4">
        <v>3</v>
      </c>
      <c r="K75" s="4">
        <v>0</v>
      </c>
      <c r="L75" s="4">
        <v>5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1</v>
      </c>
      <c r="T75" s="4">
        <v>2</v>
      </c>
      <c r="U75" s="4">
        <v>1</v>
      </c>
      <c r="V75" s="4">
        <v>0</v>
      </c>
      <c r="W75" s="4">
        <v>1</v>
      </c>
      <c r="X75" s="4">
        <v>0</v>
      </c>
      <c r="Y75" s="4">
        <v>3</v>
      </c>
      <c r="Z75" s="4">
        <v>2</v>
      </c>
      <c r="AA75" s="4">
        <v>0</v>
      </c>
      <c r="AB75" s="4">
        <v>2</v>
      </c>
      <c r="AC75" s="4">
        <v>0</v>
      </c>
      <c r="AD75" s="4">
        <v>0</v>
      </c>
      <c r="AE75" s="4">
        <v>0</v>
      </c>
      <c r="AF75" s="4">
        <v>0.5</v>
      </c>
      <c r="AG75" s="4">
        <v>0</v>
      </c>
      <c r="AH75" s="4">
        <v>0</v>
      </c>
      <c r="AI75" s="4">
        <v>0</v>
      </c>
      <c r="AJ75" s="4">
        <v>0</v>
      </c>
    </row>
    <row r="76" spans="1:36" x14ac:dyDescent="0.25">
      <c r="A76" t="s">
        <v>271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0.5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</row>
    <row r="77" spans="1:36" x14ac:dyDescent="0.25">
      <c r="A77" t="s">
        <v>122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0.5</v>
      </c>
      <c r="AH77" s="8">
        <v>0</v>
      </c>
      <c r="AI77" s="8">
        <v>0</v>
      </c>
      <c r="AJ77" s="8">
        <v>0.5</v>
      </c>
    </row>
    <row r="78" spans="1:36" x14ac:dyDescent="0.25">
      <c r="A78" t="s">
        <v>272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0.5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</row>
    <row r="79" spans="1:36" x14ac:dyDescent="0.25">
      <c r="A79" t="s">
        <v>273</v>
      </c>
      <c r="B79" s="4">
        <v>0.5</v>
      </c>
      <c r="C79" s="4">
        <v>0</v>
      </c>
      <c r="D79" s="4">
        <v>0</v>
      </c>
      <c r="E79" s="4">
        <v>0</v>
      </c>
      <c r="F79" s="4">
        <v>0.5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0.5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</row>
    <row r="80" spans="1:36" x14ac:dyDescent="0.25">
      <c r="A80" t="s">
        <v>88</v>
      </c>
      <c r="B80" s="4">
        <v>2</v>
      </c>
      <c r="C80" s="4">
        <v>0.5</v>
      </c>
      <c r="D80" s="4">
        <v>2</v>
      </c>
      <c r="E80" s="4">
        <v>2</v>
      </c>
      <c r="F80" s="4">
        <v>0</v>
      </c>
      <c r="G80" s="4">
        <v>2</v>
      </c>
      <c r="H80" s="4">
        <v>3</v>
      </c>
      <c r="I80" s="4">
        <v>1</v>
      </c>
      <c r="J80" s="4">
        <v>2</v>
      </c>
      <c r="K80" s="4">
        <v>0.5</v>
      </c>
      <c r="L80" s="4">
        <v>0</v>
      </c>
      <c r="M80" s="4">
        <v>1</v>
      </c>
      <c r="N80" s="4">
        <v>1</v>
      </c>
      <c r="O80" s="4">
        <v>1</v>
      </c>
      <c r="P80" s="4">
        <v>2</v>
      </c>
      <c r="Q80" s="4">
        <v>2</v>
      </c>
      <c r="R80" s="4">
        <v>1</v>
      </c>
      <c r="S80" s="4">
        <v>1</v>
      </c>
      <c r="T80" s="4">
        <v>1</v>
      </c>
      <c r="U80" s="4">
        <v>1</v>
      </c>
      <c r="V80" s="4">
        <v>2</v>
      </c>
      <c r="W80" s="4">
        <v>0</v>
      </c>
      <c r="X80" s="4">
        <v>0.5</v>
      </c>
      <c r="Y80" s="4">
        <v>1</v>
      </c>
      <c r="Z80" s="4">
        <v>0.5</v>
      </c>
      <c r="AA80" s="4">
        <v>1</v>
      </c>
      <c r="AB80" s="4">
        <v>1</v>
      </c>
      <c r="AC80" s="4">
        <v>3</v>
      </c>
      <c r="AD80" s="4">
        <v>2</v>
      </c>
      <c r="AE80" s="4">
        <v>1</v>
      </c>
      <c r="AF80" s="4">
        <v>0</v>
      </c>
      <c r="AG80" s="4">
        <v>0.5</v>
      </c>
      <c r="AH80" s="4">
        <v>1</v>
      </c>
      <c r="AI80" s="4">
        <v>0.5</v>
      </c>
      <c r="AJ80" s="4">
        <v>1</v>
      </c>
    </row>
    <row r="81" spans="1:36" x14ac:dyDescent="0.25">
      <c r="A81" t="s">
        <v>274</v>
      </c>
      <c r="B81" s="4">
        <v>0</v>
      </c>
      <c r="C81" s="4">
        <v>0</v>
      </c>
      <c r="D81" s="4">
        <v>0</v>
      </c>
      <c r="E81" s="4">
        <v>0</v>
      </c>
      <c r="F81" s="4">
        <v>1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</row>
    <row r="82" spans="1:36" x14ac:dyDescent="0.25">
      <c r="A82" t="s">
        <v>275</v>
      </c>
      <c r="B82" s="4">
        <v>0.5</v>
      </c>
      <c r="C82" s="4">
        <v>0</v>
      </c>
      <c r="D82" s="4">
        <v>3</v>
      </c>
      <c r="E82" s="4">
        <v>0.5</v>
      </c>
      <c r="F82" s="4">
        <v>0.5</v>
      </c>
      <c r="G82" s="4">
        <v>0</v>
      </c>
      <c r="H82" s="4">
        <v>0.5</v>
      </c>
      <c r="I82" s="4">
        <v>0</v>
      </c>
      <c r="J82" s="4">
        <v>0.5</v>
      </c>
      <c r="K82" s="4">
        <v>0.5</v>
      </c>
      <c r="L82" s="4">
        <v>0</v>
      </c>
      <c r="M82" s="4">
        <v>0</v>
      </c>
      <c r="N82" s="4">
        <v>0</v>
      </c>
      <c r="O82" s="4">
        <v>0</v>
      </c>
      <c r="P82" s="4">
        <v>1</v>
      </c>
      <c r="Q82" s="4">
        <v>0</v>
      </c>
      <c r="R82" s="4">
        <v>0.5</v>
      </c>
      <c r="S82" s="4">
        <v>0</v>
      </c>
      <c r="T82" s="4">
        <v>0</v>
      </c>
      <c r="U82" s="4">
        <v>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1</v>
      </c>
      <c r="AH82" s="4">
        <v>0</v>
      </c>
      <c r="AI82" s="4">
        <v>0</v>
      </c>
      <c r="AJ82" s="4">
        <v>1</v>
      </c>
    </row>
    <row r="83" spans="1:36" x14ac:dyDescent="0.25">
      <c r="A83" t="s">
        <v>96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0.5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1</v>
      </c>
      <c r="AA83" s="4">
        <v>0.5</v>
      </c>
      <c r="AB83" s="4">
        <v>0</v>
      </c>
      <c r="AC83" s="4">
        <v>0</v>
      </c>
      <c r="AD83" s="4">
        <v>0</v>
      </c>
      <c r="AE83" s="4">
        <v>2</v>
      </c>
      <c r="AF83" s="4">
        <v>0</v>
      </c>
      <c r="AG83" s="4">
        <v>0</v>
      </c>
      <c r="AH83" s="4">
        <v>0.5</v>
      </c>
      <c r="AI83" s="4">
        <v>0</v>
      </c>
      <c r="AJ83" s="4">
        <v>0</v>
      </c>
    </row>
    <row r="84" spans="1:36" x14ac:dyDescent="0.25">
      <c r="A84" t="s">
        <v>221</v>
      </c>
      <c r="B84" s="4">
        <v>1</v>
      </c>
      <c r="C84" s="4">
        <v>1</v>
      </c>
      <c r="D84" s="4">
        <v>0</v>
      </c>
      <c r="E84" s="4">
        <v>0.5</v>
      </c>
      <c r="F84" s="4">
        <v>0.5</v>
      </c>
      <c r="G84" s="4">
        <v>0.5</v>
      </c>
      <c r="H84" s="4">
        <v>1</v>
      </c>
      <c r="I84" s="4">
        <v>0</v>
      </c>
      <c r="J84" s="4">
        <v>0.5</v>
      </c>
      <c r="K84" s="4">
        <v>0.5</v>
      </c>
      <c r="L84" s="4">
        <v>0</v>
      </c>
      <c r="M84" s="4">
        <v>0</v>
      </c>
      <c r="N84" s="4">
        <v>0.5</v>
      </c>
      <c r="O84" s="4">
        <v>0.5</v>
      </c>
      <c r="P84" s="4">
        <v>1</v>
      </c>
      <c r="Q84" s="4">
        <v>0</v>
      </c>
      <c r="R84" s="4">
        <v>0</v>
      </c>
      <c r="S84" s="4">
        <v>0.5</v>
      </c>
      <c r="T84" s="4">
        <v>1</v>
      </c>
      <c r="U84" s="4">
        <v>2</v>
      </c>
      <c r="V84" s="4">
        <v>0.5</v>
      </c>
      <c r="W84" s="4">
        <v>0</v>
      </c>
      <c r="X84" s="4">
        <v>0.5</v>
      </c>
      <c r="Y84" s="4">
        <v>0.5</v>
      </c>
      <c r="Z84" s="4">
        <v>0.5</v>
      </c>
      <c r="AA84" s="4">
        <v>0</v>
      </c>
      <c r="AB84" s="4">
        <v>0.5</v>
      </c>
      <c r="AC84" s="4">
        <v>0.5</v>
      </c>
      <c r="AD84" s="4">
        <v>0</v>
      </c>
      <c r="AE84" s="4">
        <v>0</v>
      </c>
      <c r="AF84" s="4">
        <v>0</v>
      </c>
      <c r="AG84" s="4">
        <v>0</v>
      </c>
      <c r="AH84" s="4">
        <v>2</v>
      </c>
      <c r="AI84" s="4">
        <v>0</v>
      </c>
      <c r="AJ84" s="4">
        <v>0</v>
      </c>
    </row>
    <row r="85" spans="1:36" x14ac:dyDescent="0.25">
      <c r="A85" t="s">
        <v>86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2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1</v>
      </c>
      <c r="X85" s="4">
        <v>0</v>
      </c>
      <c r="Y85" s="4">
        <v>0</v>
      </c>
      <c r="Z85" s="4">
        <v>0</v>
      </c>
      <c r="AA85" s="4">
        <v>0.5</v>
      </c>
      <c r="AB85" s="4">
        <v>0</v>
      </c>
      <c r="AC85" s="4">
        <v>0</v>
      </c>
      <c r="AD85" s="4">
        <v>1</v>
      </c>
      <c r="AE85" s="4">
        <v>0.5</v>
      </c>
      <c r="AF85" s="4">
        <v>1</v>
      </c>
      <c r="AG85" s="4">
        <v>0</v>
      </c>
      <c r="AH85" s="4">
        <v>0</v>
      </c>
      <c r="AI85" s="4">
        <v>3</v>
      </c>
      <c r="AJ85" s="4">
        <v>0</v>
      </c>
    </row>
    <row r="86" spans="1:36" x14ac:dyDescent="0.25">
      <c r="A86" t="s">
        <v>276</v>
      </c>
      <c r="B86" s="4">
        <v>0.5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0.5</v>
      </c>
      <c r="J86" s="4">
        <v>0</v>
      </c>
      <c r="K86" s="4">
        <v>0</v>
      </c>
      <c r="L86" s="4">
        <v>2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0.5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</row>
    <row r="87" spans="1:36" x14ac:dyDescent="0.25">
      <c r="A87" t="s">
        <v>109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0.5</v>
      </c>
      <c r="AG87" s="4">
        <v>0</v>
      </c>
      <c r="AH87" s="4">
        <v>0</v>
      </c>
      <c r="AI87" s="4">
        <v>0</v>
      </c>
      <c r="AJ87" s="4">
        <v>0</v>
      </c>
    </row>
    <row r="88" spans="1:36" x14ac:dyDescent="0.25">
      <c r="A88" t="s">
        <v>277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1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</row>
    <row r="89" spans="1:36" x14ac:dyDescent="0.25">
      <c r="A89" t="s">
        <v>278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2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1</v>
      </c>
      <c r="Q89" s="4">
        <v>0.5</v>
      </c>
      <c r="R89" s="4">
        <v>0</v>
      </c>
      <c r="S89" s="4">
        <v>0.5</v>
      </c>
      <c r="T89" s="4">
        <v>0</v>
      </c>
      <c r="U89" s="4">
        <v>0.5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</row>
    <row r="90" spans="1:36" x14ac:dyDescent="0.25">
      <c r="A90" t="s">
        <v>279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1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</row>
    <row r="91" spans="1:36" x14ac:dyDescent="0.25">
      <c r="A91" t="s">
        <v>280</v>
      </c>
      <c r="B91" s="4">
        <v>0</v>
      </c>
      <c r="C91" s="4">
        <v>0</v>
      </c>
      <c r="D91" s="4">
        <v>0.5</v>
      </c>
      <c r="E91" s="4">
        <v>0</v>
      </c>
      <c r="F91" s="4">
        <v>0</v>
      </c>
      <c r="G91" s="4">
        <v>0</v>
      </c>
      <c r="H91" s="4">
        <v>0.5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0.5</v>
      </c>
      <c r="R91" s="4">
        <v>0</v>
      </c>
      <c r="S91" s="4">
        <v>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</row>
    <row r="92" spans="1:36" x14ac:dyDescent="0.25">
      <c r="A92" t="s">
        <v>281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0.5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</row>
    <row r="93" spans="1:36" x14ac:dyDescent="0.25">
      <c r="A93" t="s">
        <v>282</v>
      </c>
      <c r="B93" s="4">
        <v>0</v>
      </c>
      <c r="C93" s="4">
        <v>0</v>
      </c>
      <c r="D93" s="4">
        <v>0.5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0.5</v>
      </c>
      <c r="L93" s="4">
        <v>0</v>
      </c>
      <c r="M93" s="4">
        <v>0</v>
      </c>
      <c r="N93" s="4">
        <v>0</v>
      </c>
      <c r="O93" s="4">
        <v>0</v>
      </c>
      <c r="P93" s="4">
        <v>0.5</v>
      </c>
      <c r="Q93" s="4">
        <v>0.5</v>
      </c>
      <c r="R93" s="4">
        <v>0</v>
      </c>
      <c r="S93" s="4">
        <v>1</v>
      </c>
      <c r="T93" s="4">
        <v>0.5</v>
      </c>
      <c r="U93" s="4">
        <v>0</v>
      </c>
      <c r="V93" s="4">
        <v>0</v>
      </c>
      <c r="W93" s="4">
        <v>0</v>
      </c>
      <c r="X93" s="4">
        <v>0.5</v>
      </c>
      <c r="Y93" s="4">
        <v>0.5</v>
      </c>
      <c r="Z93" s="4">
        <v>0</v>
      </c>
      <c r="AA93" s="4">
        <v>0.5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</row>
    <row r="94" spans="1:36" x14ac:dyDescent="0.25">
      <c r="A94" t="s">
        <v>283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0.5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</row>
    <row r="95" spans="1:36" x14ac:dyDescent="0.25">
      <c r="A95" t="s">
        <v>284</v>
      </c>
      <c r="B95" s="4">
        <v>0</v>
      </c>
      <c r="C95" s="4">
        <v>0.5</v>
      </c>
      <c r="D95" s="4">
        <v>0.5</v>
      </c>
      <c r="E95" s="4">
        <v>0.5</v>
      </c>
      <c r="F95" s="4">
        <v>0</v>
      </c>
      <c r="G95" s="4">
        <v>0</v>
      </c>
      <c r="H95" s="4">
        <v>0.5</v>
      </c>
      <c r="I95" s="4">
        <v>0</v>
      </c>
      <c r="J95" s="4">
        <v>0</v>
      </c>
      <c r="K95" s="4">
        <v>0.5</v>
      </c>
      <c r="L95" s="4">
        <v>0</v>
      </c>
      <c r="M95" s="4">
        <v>0</v>
      </c>
      <c r="N95" s="4">
        <v>2</v>
      </c>
      <c r="O95" s="4">
        <v>1</v>
      </c>
      <c r="P95" s="4">
        <v>0</v>
      </c>
      <c r="Q95" s="4">
        <v>0.5</v>
      </c>
      <c r="R95" s="4">
        <v>1</v>
      </c>
      <c r="S95" s="4">
        <v>0</v>
      </c>
      <c r="T95" s="4">
        <v>0.5</v>
      </c>
      <c r="U95" s="4">
        <v>0</v>
      </c>
      <c r="V95" s="4">
        <v>0.5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</row>
    <row r="96" spans="1:36" x14ac:dyDescent="0.25">
      <c r="A96" t="s">
        <v>285</v>
      </c>
      <c r="B96" s="4">
        <v>0</v>
      </c>
      <c r="C96" s="4">
        <v>0</v>
      </c>
      <c r="D96" s="4">
        <v>0.5</v>
      </c>
      <c r="E96" s="4">
        <v>0</v>
      </c>
      <c r="F96" s="4">
        <v>0.5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0.5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</row>
    <row r="97" spans="1:36" x14ac:dyDescent="0.25">
      <c r="A97" t="s">
        <v>286</v>
      </c>
      <c r="B97" s="4">
        <v>0</v>
      </c>
      <c r="C97" s="4">
        <v>0</v>
      </c>
      <c r="D97" s="4">
        <v>0</v>
      </c>
      <c r="E97" s="4">
        <v>0</v>
      </c>
      <c r="F97" s="4">
        <v>0.5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1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0.5</v>
      </c>
      <c r="W97" s="4">
        <v>0</v>
      </c>
      <c r="X97" s="4">
        <v>0</v>
      </c>
      <c r="Y97" s="4">
        <v>0</v>
      </c>
      <c r="Z97" s="4">
        <v>0.5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</row>
    <row r="98" spans="1:36" x14ac:dyDescent="0.25">
      <c r="A98" t="s">
        <v>287</v>
      </c>
      <c r="B98" s="4">
        <v>0</v>
      </c>
      <c r="C98" s="4">
        <v>0</v>
      </c>
      <c r="D98" s="4">
        <v>0</v>
      </c>
      <c r="E98" s="4">
        <v>0</v>
      </c>
      <c r="F98" s="4">
        <v>0.5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0.5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</row>
    <row r="99" spans="1:36" x14ac:dyDescent="0.25">
      <c r="A99" t="s">
        <v>222</v>
      </c>
      <c r="B99" s="4">
        <v>0.5</v>
      </c>
      <c r="C99" s="4">
        <v>0</v>
      </c>
      <c r="D99" s="4">
        <v>1</v>
      </c>
      <c r="E99" s="4">
        <v>0.5</v>
      </c>
      <c r="F99" s="4">
        <v>0</v>
      </c>
      <c r="G99" s="4">
        <v>0</v>
      </c>
      <c r="H99" s="4">
        <v>0.5</v>
      </c>
      <c r="I99" s="4">
        <v>0</v>
      </c>
      <c r="J99" s="4">
        <v>0.5</v>
      </c>
      <c r="K99" s="4">
        <v>0.5</v>
      </c>
      <c r="L99" s="4">
        <v>0</v>
      </c>
      <c r="M99" s="4">
        <v>0</v>
      </c>
      <c r="N99" s="4">
        <v>0</v>
      </c>
      <c r="O99" s="4">
        <v>0</v>
      </c>
      <c r="P99" s="4">
        <v>0.5</v>
      </c>
      <c r="Q99" s="4">
        <v>0</v>
      </c>
      <c r="R99" s="4">
        <v>0.5</v>
      </c>
      <c r="S99" s="4">
        <v>0.5</v>
      </c>
      <c r="T99" s="4">
        <v>0</v>
      </c>
      <c r="U99" s="4">
        <v>1</v>
      </c>
      <c r="V99" s="4">
        <v>0.5</v>
      </c>
      <c r="W99" s="4">
        <v>0</v>
      </c>
      <c r="X99" s="4">
        <v>0</v>
      </c>
      <c r="Y99" s="4">
        <v>0.5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0.5</v>
      </c>
      <c r="AI99" s="4">
        <v>0</v>
      </c>
      <c r="AJ99" s="4">
        <v>0</v>
      </c>
    </row>
    <row r="100" spans="1:36" x14ac:dyDescent="0.25">
      <c r="A100" t="s">
        <v>288</v>
      </c>
      <c r="B100" s="4">
        <v>0</v>
      </c>
      <c r="C100" s="4">
        <v>0</v>
      </c>
      <c r="D100" s="4">
        <v>0.5</v>
      </c>
      <c r="E100" s="4">
        <v>3</v>
      </c>
      <c r="F100" s="4">
        <v>0</v>
      </c>
      <c r="G100" s="4">
        <v>0.5</v>
      </c>
      <c r="H100" s="4">
        <v>0.5</v>
      </c>
      <c r="I100" s="4">
        <v>0</v>
      </c>
      <c r="J100" s="4">
        <v>0.5</v>
      </c>
      <c r="K100" s="4">
        <v>0</v>
      </c>
      <c r="L100" s="4">
        <v>0</v>
      </c>
      <c r="M100" s="4">
        <v>2</v>
      </c>
      <c r="N100" s="4">
        <v>0.5</v>
      </c>
      <c r="O100" s="4">
        <v>3</v>
      </c>
      <c r="P100" s="4">
        <v>2</v>
      </c>
      <c r="Q100" s="4">
        <v>0</v>
      </c>
      <c r="R100" s="4">
        <v>0</v>
      </c>
      <c r="S100" s="4">
        <v>0.5</v>
      </c>
      <c r="T100" s="4">
        <v>0.5</v>
      </c>
      <c r="U100" s="4">
        <v>0</v>
      </c>
      <c r="V100" s="4">
        <v>0.5</v>
      </c>
      <c r="W100" s="4">
        <v>0.5</v>
      </c>
      <c r="X100" s="4">
        <v>1</v>
      </c>
      <c r="Y100" s="4">
        <v>0.5</v>
      </c>
      <c r="Z100" s="4">
        <v>0.5</v>
      </c>
      <c r="AA100" s="4">
        <v>0.5</v>
      </c>
      <c r="AB100" s="4">
        <v>0.5</v>
      </c>
      <c r="AC100" s="4">
        <v>4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</row>
    <row r="101" spans="1:36" x14ac:dyDescent="0.25">
      <c r="A101" t="s">
        <v>93</v>
      </c>
      <c r="B101" s="4">
        <v>0</v>
      </c>
      <c r="C101" s="4">
        <v>0</v>
      </c>
      <c r="D101" s="4">
        <v>1</v>
      </c>
      <c r="E101" s="4">
        <v>0.5</v>
      </c>
      <c r="F101" s="4">
        <v>0</v>
      </c>
      <c r="G101" s="4">
        <v>0</v>
      </c>
      <c r="H101" s="4">
        <v>0.5</v>
      </c>
      <c r="I101" s="4">
        <v>0.5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1</v>
      </c>
      <c r="Q101" s="4">
        <v>1</v>
      </c>
      <c r="R101" s="4">
        <v>3</v>
      </c>
      <c r="S101" s="4">
        <v>0</v>
      </c>
      <c r="T101" s="4">
        <v>0</v>
      </c>
      <c r="U101" s="4">
        <v>0</v>
      </c>
      <c r="V101" s="4">
        <v>0</v>
      </c>
      <c r="W101" s="4">
        <v>0.5</v>
      </c>
      <c r="X101" s="4">
        <v>0</v>
      </c>
      <c r="Y101" s="4">
        <v>0.5</v>
      </c>
      <c r="Z101" s="4">
        <v>0</v>
      </c>
      <c r="AA101" s="4">
        <v>4</v>
      </c>
      <c r="AB101" s="4">
        <v>0.5</v>
      </c>
      <c r="AC101" s="4">
        <v>1</v>
      </c>
      <c r="AD101" s="4">
        <v>2</v>
      </c>
      <c r="AE101" s="4">
        <v>0</v>
      </c>
      <c r="AF101" s="4">
        <v>1</v>
      </c>
      <c r="AG101" s="4">
        <v>0</v>
      </c>
      <c r="AH101" s="4">
        <v>0</v>
      </c>
      <c r="AI101" s="4">
        <v>0.5</v>
      </c>
      <c r="AJ101" s="4">
        <v>5</v>
      </c>
    </row>
    <row r="102" spans="1:36" x14ac:dyDescent="0.25">
      <c r="A102" t="s">
        <v>120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0.5</v>
      </c>
      <c r="AH102" s="4">
        <v>0</v>
      </c>
      <c r="AI102" s="4">
        <v>0</v>
      </c>
      <c r="AJ102" s="4">
        <v>0</v>
      </c>
    </row>
    <row r="103" spans="1:36" x14ac:dyDescent="0.25">
      <c r="A103" t="s">
        <v>82</v>
      </c>
      <c r="B103" s="4">
        <v>1</v>
      </c>
      <c r="C103" s="4">
        <v>2</v>
      </c>
      <c r="D103" s="4">
        <v>2</v>
      </c>
      <c r="E103" s="4">
        <v>1</v>
      </c>
      <c r="F103" s="4">
        <v>0.5</v>
      </c>
      <c r="G103" s="4">
        <v>0.5</v>
      </c>
      <c r="H103" s="4">
        <v>2</v>
      </c>
      <c r="I103" s="4">
        <v>0.5</v>
      </c>
      <c r="J103" s="4">
        <v>4</v>
      </c>
      <c r="K103" s="4">
        <v>1</v>
      </c>
      <c r="L103" s="4">
        <v>0</v>
      </c>
      <c r="M103" s="4">
        <v>1</v>
      </c>
      <c r="N103" s="4">
        <v>1</v>
      </c>
      <c r="O103" s="4">
        <v>0</v>
      </c>
      <c r="P103" s="4">
        <v>1</v>
      </c>
      <c r="Q103" s="4">
        <v>0.5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0.5</v>
      </c>
      <c r="X103" s="4">
        <v>2</v>
      </c>
      <c r="Y103" s="4">
        <v>1</v>
      </c>
      <c r="Z103" s="4">
        <v>0</v>
      </c>
      <c r="AA103" s="4">
        <v>0.5</v>
      </c>
      <c r="AB103" s="4">
        <v>0</v>
      </c>
      <c r="AC103" s="4">
        <v>0.5</v>
      </c>
      <c r="AD103" s="4">
        <v>5</v>
      </c>
      <c r="AE103" s="4">
        <v>1</v>
      </c>
      <c r="AF103" s="4">
        <v>1</v>
      </c>
      <c r="AG103" s="4">
        <v>0.5</v>
      </c>
      <c r="AH103" s="4">
        <v>1</v>
      </c>
      <c r="AI103" s="4">
        <v>0</v>
      </c>
      <c r="AJ103" s="4">
        <v>0</v>
      </c>
    </row>
    <row r="104" spans="1:36" x14ac:dyDescent="0.25">
      <c r="A104" t="s">
        <v>100</v>
      </c>
      <c r="B104" s="4">
        <v>2</v>
      </c>
      <c r="C104" s="4">
        <v>1</v>
      </c>
      <c r="D104" s="4">
        <v>1</v>
      </c>
      <c r="E104" s="4">
        <v>3</v>
      </c>
      <c r="F104" s="4">
        <v>2</v>
      </c>
      <c r="G104" s="4">
        <v>2</v>
      </c>
      <c r="H104" s="4">
        <v>1</v>
      </c>
      <c r="I104" s="4">
        <v>4</v>
      </c>
      <c r="J104" s="4">
        <v>1</v>
      </c>
      <c r="K104" s="4">
        <v>4</v>
      </c>
      <c r="L104" s="4">
        <v>2</v>
      </c>
      <c r="M104" s="4">
        <v>2</v>
      </c>
      <c r="N104" s="4">
        <v>2</v>
      </c>
      <c r="O104" s="4">
        <v>2</v>
      </c>
      <c r="P104" s="4">
        <v>1</v>
      </c>
      <c r="Q104" s="4">
        <v>1</v>
      </c>
      <c r="R104" s="4">
        <v>1</v>
      </c>
      <c r="S104" s="4">
        <v>0</v>
      </c>
      <c r="T104" s="4">
        <v>2</v>
      </c>
      <c r="U104" s="4">
        <v>2</v>
      </c>
      <c r="V104" s="4">
        <v>1</v>
      </c>
      <c r="W104" s="4">
        <v>2</v>
      </c>
      <c r="X104" s="4">
        <v>1</v>
      </c>
      <c r="Y104" s="4">
        <v>2</v>
      </c>
      <c r="Z104" s="4">
        <v>0.5</v>
      </c>
      <c r="AA104" s="4">
        <v>1</v>
      </c>
      <c r="AB104" s="4">
        <v>2</v>
      </c>
      <c r="AC104" s="4">
        <v>0</v>
      </c>
      <c r="AD104" s="4">
        <v>0</v>
      </c>
      <c r="AE104" s="4">
        <v>1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</row>
    <row r="105" spans="1:36" x14ac:dyDescent="0.25">
      <c r="A105" t="s">
        <v>289</v>
      </c>
      <c r="B105" s="4">
        <v>0</v>
      </c>
      <c r="C105" s="4">
        <v>1</v>
      </c>
      <c r="D105" s="4">
        <v>2</v>
      </c>
      <c r="E105" s="4">
        <v>0</v>
      </c>
      <c r="F105" s="4">
        <v>0</v>
      </c>
      <c r="G105" s="4">
        <v>1</v>
      </c>
      <c r="H105" s="4">
        <v>0</v>
      </c>
      <c r="I105" s="4">
        <v>1</v>
      </c>
      <c r="J105" s="4">
        <v>2</v>
      </c>
      <c r="K105" s="4">
        <v>0</v>
      </c>
      <c r="L105" s="4">
        <v>0</v>
      </c>
      <c r="M105" s="4">
        <v>1</v>
      </c>
      <c r="N105" s="4">
        <v>1</v>
      </c>
      <c r="O105" s="4">
        <v>1</v>
      </c>
      <c r="P105" s="4">
        <v>0</v>
      </c>
      <c r="Q105" s="4">
        <v>1</v>
      </c>
      <c r="R105" s="4">
        <v>2</v>
      </c>
      <c r="S105" s="4">
        <v>1</v>
      </c>
      <c r="T105" s="4">
        <v>0</v>
      </c>
      <c r="U105" s="4">
        <v>2</v>
      </c>
      <c r="V105" s="4">
        <v>1</v>
      </c>
      <c r="W105" s="4">
        <v>0</v>
      </c>
      <c r="X105" s="4">
        <v>0</v>
      </c>
      <c r="Y105" s="4">
        <v>0</v>
      </c>
      <c r="Z105" s="4">
        <v>0.5</v>
      </c>
      <c r="AA105" s="4">
        <v>0</v>
      </c>
      <c r="AB105" s="4">
        <v>1</v>
      </c>
      <c r="AC105" s="4">
        <v>1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2</v>
      </c>
    </row>
    <row r="106" spans="1:36" x14ac:dyDescent="0.25">
      <c r="A106" t="s">
        <v>103</v>
      </c>
      <c r="B106" s="4">
        <v>0</v>
      </c>
      <c r="C106" s="4">
        <v>0</v>
      </c>
      <c r="D106" s="4">
        <v>0</v>
      </c>
      <c r="E106" s="4">
        <v>0</v>
      </c>
      <c r="F106" s="4">
        <v>0.5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1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</row>
    <row r="107" spans="1:36" x14ac:dyDescent="0.25">
      <c r="A107" t="s">
        <v>290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0.5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</row>
    <row r="108" spans="1:36" x14ac:dyDescent="0.25">
      <c r="A108" t="s">
        <v>291</v>
      </c>
      <c r="B108" s="4">
        <v>0</v>
      </c>
      <c r="C108" s="4">
        <v>0</v>
      </c>
      <c r="D108" s="4">
        <v>0</v>
      </c>
      <c r="E108" s="4">
        <v>0.5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</row>
    <row r="109" spans="1:36" x14ac:dyDescent="0.25">
      <c r="A109" t="s">
        <v>95</v>
      </c>
      <c r="B109" s="4">
        <v>0.5</v>
      </c>
      <c r="C109" s="4">
        <v>0.5</v>
      </c>
      <c r="D109" s="4">
        <v>0</v>
      </c>
      <c r="E109" s="4">
        <v>0.5</v>
      </c>
      <c r="F109" s="4">
        <v>1</v>
      </c>
      <c r="G109" s="4">
        <v>0</v>
      </c>
      <c r="H109" s="4">
        <v>1</v>
      </c>
      <c r="I109" s="4">
        <v>0.5</v>
      </c>
      <c r="J109" s="4">
        <v>0</v>
      </c>
      <c r="K109" s="4">
        <v>0</v>
      </c>
      <c r="L109" s="4">
        <v>0</v>
      </c>
      <c r="M109" s="4">
        <v>0</v>
      </c>
      <c r="N109" s="4">
        <v>0.5</v>
      </c>
      <c r="O109" s="4">
        <v>0</v>
      </c>
      <c r="P109" s="4">
        <v>0</v>
      </c>
      <c r="Q109" s="4">
        <v>0</v>
      </c>
      <c r="R109" s="4">
        <v>0</v>
      </c>
      <c r="S109" s="4">
        <v>0.5</v>
      </c>
      <c r="T109" s="4">
        <v>0</v>
      </c>
      <c r="U109" s="4">
        <v>0</v>
      </c>
      <c r="V109" s="4">
        <v>0</v>
      </c>
      <c r="W109" s="4">
        <v>0</v>
      </c>
      <c r="X109" s="4">
        <v>0.5</v>
      </c>
      <c r="Y109" s="4">
        <v>0.5</v>
      </c>
      <c r="Z109" s="4">
        <v>0.5</v>
      </c>
      <c r="AA109" s="4">
        <v>0</v>
      </c>
      <c r="AB109" s="4">
        <v>0.5</v>
      </c>
      <c r="AC109" s="4">
        <v>0.5</v>
      </c>
      <c r="AD109" s="4">
        <v>0.5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</row>
    <row r="110" spans="1:36" x14ac:dyDescent="0.25">
      <c r="A110" t="s">
        <v>292</v>
      </c>
      <c r="B110" s="4">
        <v>0</v>
      </c>
      <c r="C110" s="4">
        <v>0</v>
      </c>
      <c r="D110" s="4">
        <v>0</v>
      </c>
      <c r="E110" s="4">
        <v>0.5</v>
      </c>
      <c r="F110" s="4">
        <v>0.5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0.5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</row>
    <row r="111" spans="1:36" x14ac:dyDescent="0.25">
      <c r="A111" t="s">
        <v>293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</row>
    <row r="112" spans="1:36" x14ac:dyDescent="0.25">
      <c r="A112" t="s">
        <v>112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0.5</v>
      </c>
      <c r="I112" s="4">
        <v>0</v>
      </c>
      <c r="J112" s="4">
        <v>0.5</v>
      </c>
      <c r="K112" s="4">
        <v>0.5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0.5</v>
      </c>
      <c r="T112" s="4">
        <v>0</v>
      </c>
      <c r="U112" s="4">
        <v>0</v>
      </c>
      <c r="V112" s="4">
        <v>0.5</v>
      </c>
      <c r="W112" s="4">
        <v>0</v>
      </c>
      <c r="X112" s="4">
        <v>0.5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0.5</v>
      </c>
      <c r="AG112" s="4">
        <v>0</v>
      </c>
      <c r="AH112" s="4">
        <v>0</v>
      </c>
      <c r="AI112" s="4">
        <v>0</v>
      </c>
      <c r="AJ112" s="4">
        <v>0</v>
      </c>
    </row>
    <row r="113" spans="1:36" x14ac:dyDescent="0.25">
      <c r="A113" t="s">
        <v>87</v>
      </c>
      <c r="B113" s="8">
        <v>0.5</v>
      </c>
      <c r="C113" s="8">
        <v>0.5</v>
      </c>
      <c r="D113" s="8">
        <v>0.5</v>
      </c>
      <c r="E113" s="8">
        <v>0.5</v>
      </c>
      <c r="F113" s="8">
        <v>0</v>
      </c>
      <c r="G113" s="8">
        <v>0.5</v>
      </c>
      <c r="H113" s="8">
        <v>0.5</v>
      </c>
      <c r="I113" s="8">
        <v>0</v>
      </c>
      <c r="J113" s="8">
        <v>0.5</v>
      </c>
      <c r="K113" s="8">
        <v>1</v>
      </c>
      <c r="L113" s="8">
        <v>0</v>
      </c>
      <c r="M113" s="8">
        <v>0</v>
      </c>
      <c r="N113" s="8">
        <v>0.5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0.5</v>
      </c>
      <c r="W113" s="8">
        <v>0</v>
      </c>
      <c r="X113" s="8">
        <v>0.5</v>
      </c>
      <c r="Y113" s="8">
        <v>0</v>
      </c>
      <c r="Z113" s="8">
        <v>0.5</v>
      </c>
      <c r="AA113" s="8">
        <v>0.5</v>
      </c>
      <c r="AB113" s="8">
        <v>0</v>
      </c>
      <c r="AC113" s="8">
        <v>0.5</v>
      </c>
      <c r="AD113" s="8">
        <v>1</v>
      </c>
      <c r="AE113" s="8">
        <v>0.5</v>
      </c>
      <c r="AF113" s="8">
        <v>0</v>
      </c>
      <c r="AG113" s="8">
        <v>0.5</v>
      </c>
      <c r="AH113" s="8">
        <v>0.5</v>
      </c>
      <c r="AI113" s="8">
        <v>0</v>
      </c>
      <c r="AJ113" s="8">
        <v>0.5</v>
      </c>
    </row>
    <row r="114" spans="1:36" x14ac:dyDescent="0.25">
      <c r="A114" t="s">
        <v>294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0.5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1</v>
      </c>
      <c r="O114" s="4">
        <v>0</v>
      </c>
      <c r="P114" s="4">
        <v>0</v>
      </c>
      <c r="Q114" s="4">
        <v>0.5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0.5</v>
      </c>
      <c r="X114" s="4">
        <v>0</v>
      </c>
      <c r="Y114" s="4">
        <v>0</v>
      </c>
      <c r="Z114" s="4">
        <v>0.5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</row>
    <row r="115" spans="1:36" x14ac:dyDescent="0.25">
      <c r="A115" t="s">
        <v>295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1</v>
      </c>
      <c r="L115" s="4">
        <v>0</v>
      </c>
      <c r="M115" s="4">
        <v>0</v>
      </c>
      <c r="N115" s="4">
        <v>1</v>
      </c>
      <c r="O115" s="4">
        <v>1</v>
      </c>
      <c r="P115" s="4">
        <v>0</v>
      </c>
      <c r="Q115" s="4">
        <v>1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1</v>
      </c>
      <c r="AA115" s="4">
        <v>4</v>
      </c>
      <c r="AB115" s="4">
        <v>0</v>
      </c>
      <c r="AC115" s="4">
        <v>0.5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</row>
  </sheetData>
  <autoFilter ref="A1:AJ115" xr:uid="{17869D33-9A7B-45BA-BBF3-6DA9F542ACF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5"/>
  <dimension ref="A1:J202"/>
  <sheetViews>
    <sheetView topLeftCell="A8" zoomScaleNormal="100" workbookViewId="0">
      <selection activeCell="A16" sqref="A16:XFD16"/>
    </sheetView>
  </sheetViews>
  <sheetFormatPr defaultColWidth="11.42578125" defaultRowHeight="15" x14ac:dyDescent="0.25"/>
  <cols>
    <col min="6" max="6" width="13.140625" customWidth="1"/>
    <col min="7" max="7" width="15.7109375" customWidth="1"/>
    <col min="8" max="8" width="15.85546875" customWidth="1"/>
  </cols>
  <sheetData>
    <row r="1" spans="1:8" x14ac:dyDescent="0.25">
      <c r="A1" t="s">
        <v>0</v>
      </c>
      <c r="B1" t="s">
        <v>73</v>
      </c>
      <c r="C1" t="s">
        <v>65</v>
      </c>
      <c r="D1" t="s">
        <v>66</v>
      </c>
      <c r="E1" t="s">
        <v>1</v>
      </c>
      <c r="F1" t="s">
        <v>67</v>
      </c>
      <c r="G1" t="s">
        <v>68</v>
      </c>
      <c r="H1" t="s">
        <v>69</v>
      </c>
    </row>
    <row r="2" spans="1:8" x14ac:dyDescent="0.25">
      <c r="A2" t="s">
        <v>140</v>
      </c>
      <c r="B2" s="1">
        <v>43915</v>
      </c>
      <c r="C2">
        <v>2020</v>
      </c>
      <c r="D2" s="1">
        <v>43984</v>
      </c>
      <c r="E2">
        <v>69</v>
      </c>
      <c r="F2">
        <f>(G2-H2)/G2</f>
        <v>0.14696040156162854</v>
      </c>
      <c r="G2">
        <v>2390.6666666666665</v>
      </c>
      <c r="H2">
        <v>2039.3333333333333</v>
      </c>
    </row>
    <row r="3" spans="1:8" x14ac:dyDescent="0.25">
      <c r="A3" t="s">
        <v>140</v>
      </c>
      <c r="B3" s="1">
        <v>44232</v>
      </c>
      <c r="C3">
        <v>2021</v>
      </c>
      <c r="D3" s="1">
        <v>44378</v>
      </c>
      <c r="E3">
        <v>116</v>
      </c>
      <c r="F3">
        <f t="shared" ref="F3:F65" si="0">(G3-H3)/G3</f>
        <v>0.55146163215590749</v>
      </c>
      <c r="G3">
        <v>2189.3333333333335</v>
      </c>
      <c r="H3">
        <v>982</v>
      </c>
    </row>
    <row r="4" spans="1:8" x14ac:dyDescent="0.25">
      <c r="A4" t="s">
        <v>140</v>
      </c>
      <c r="B4" s="1">
        <v>44607</v>
      </c>
      <c r="C4">
        <v>2022</v>
      </c>
      <c r="D4" s="1">
        <v>44727</v>
      </c>
      <c r="E4">
        <v>120</v>
      </c>
      <c r="F4">
        <f t="shared" si="0"/>
        <v>0.24200426439232414</v>
      </c>
      <c r="G4">
        <v>1250.6666666666667</v>
      </c>
      <c r="H4">
        <v>948</v>
      </c>
    </row>
    <row r="5" spans="1:8" x14ac:dyDescent="0.25">
      <c r="A5" t="s">
        <v>141</v>
      </c>
      <c r="B5" s="1"/>
      <c r="C5">
        <v>2023</v>
      </c>
      <c r="D5" s="1">
        <v>45057</v>
      </c>
      <c r="F5">
        <f t="shared" si="0"/>
        <v>0.47181372549019607</v>
      </c>
      <c r="G5">
        <v>5440</v>
      </c>
      <c r="H5">
        <v>2873.3333333333335</v>
      </c>
    </row>
    <row r="6" spans="1:8" x14ac:dyDescent="0.25">
      <c r="A6" t="s">
        <v>141</v>
      </c>
      <c r="B6" s="1">
        <v>45352</v>
      </c>
      <c r="C6">
        <v>2024</v>
      </c>
      <c r="D6" s="1">
        <v>45436</v>
      </c>
      <c r="E6">
        <v>85</v>
      </c>
      <c r="F6">
        <f t="shared" si="0"/>
        <v>0.45724731693258364</v>
      </c>
      <c r="G6">
        <v>5652.6666670000004</v>
      </c>
      <c r="H6">
        <v>3068</v>
      </c>
    </row>
    <row r="7" spans="1:8" x14ac:dyDescent="0.25">
      <c r="A7" t="s">
        <v>141</v>
      </c>
      <c r="B7" s="1">
        <v>45712</v>
      </c>
      <c r="C7">
        <v>2025</v>
      </c>
      <c r="D7" s="1">
        <v>45796</v>
      </c>
      <c r="E7">
        <v>84</v>
      </c>
      <c r="F7">
        <f t="shared" si="0"/>
        <v>3.630937577716975E-2</v>
      </c>
      <c r="G7">
        <v>2680.6666666666665</v>
      </c>
      <c r="H7">
        <v>2583.3333333333335</v>
      </c>
    </row>
    <row r="8" spans="1:8" x14ac:dyDescent="0.25">
      <c r="A8" t="s">
        <v>142</v>
      </c>
      <c r="B8" s="1">
        <v>46087</v>
      </c>
      <c r="C8">
        <v>2026</v>
      </c>
      <c r="D8" s="1">
        <v>46174</v>
      </c>
      <c r="E8">
        <v>87</v>
      </c>
      <c r="F8">
        <f t="shared" si="0"/>
        <v>7.8841870824053459E-2</v>
      </c>
      <c r="G8">
        <v>2245</v>
      </c>
      <c r="H8">
        <v>2068</v>
      </c>
    </row>
    <row r="9" spans="1:8" x14ac:dyDescent="0.25">
      <c r="A9" t="s">
        <v>169</v>
      </c>
      <c r="B9" s="1"/>
      <c r="C9">
        <v>2023</v>
      </c>
      <c r="D9" s="1">
        <v>45068</v>
      </c>
      <c r="F9">
        <f t="shared" si="0"/>
        <v>0.46469833119383824</v>
      </c>
      <c r="G9">
        <v>5193.333333333333</v>
      </c>
      <c r="H9">
        <v>2780</v>
      </c>
    </row>
    <row r="10" spans="1:8" x14ac:dyDescent="0.25">
      <c r="A10" t="s">
        <v>169</v>
      </c>
      <c r="B10" s="1">
        <v>45371</v>
      </c>
      <c r="C10">
        <v>2024</v>
      </c>
      <c r="D10" s="1">
        <v>45434</v>
      </c>
      <c r="E10">
        <v>64</v>
      </c>
      <c r="F10">
        <f t="shared" si="0"/>
        <v>0.27566964285714285</v>
      </c>
      <c r="G10">
        <v>5376</v>
      </c>
      <c r="H10">
        <v>3894</v>
      </c>
    </row>
    <row r="11" spans="1:8" ht="14.25" customHeight="1" x14ac:dyDescent="0.25">
      <c r="A11" t="s">
        <v>169</v>
      </c>
      <c r="B11" s="1">
        <v>46097</v>
      </c>
      <c r="C11">
        <v>2026</v>
      </c>
      <c r="D11" s="1">
        <v>46160</v>
      </c>
      <c r="E11">
        <v>63</v>
      </c>
      <c r="F11">
        <f t="shared" si="0"/>
        <v>7.9922965816080882E-2</v>
      </c>
      <c r="G11">
        <v>4154</v>
      </c>
      <c r="H11">
        <v>3822</v>
      </c>
    </row>
    <row r="12" spans="1:8" x14ac:dyDescent="0.25">
      <c r="A12" t="s">
        <v>145</v>
      </c>
      <c r="B12" s="1">
        <v>43920</v>
      </c>
      <c r="C12">
        <v>2020</v>
      </c>
      <c r="D12" s="1">
        <v>43991</v>
      </c>
      <c r="E12">
        <v>71</v>
      </c>
      <c r="F12">
        <f t="shared" si="0"/>
        <v>6.5841979249800481E-2</v>
      </c>
      <c r="G12">
        <v>1670.6666666666667</v>
      </c>
      <c r="H12">
        <v>1560.6666666666667</v>
      </c>
    </row>
    <row r="13" spans="1:8" x14ac:dyDescent="0.25">
      <c r="A13" t="s">
        <v>145</v>
      </c>
      <c r="B13" s="1">
        <v>44245</v>
      </c>
      <c r="C13">
        <v>2021</v>
      </c>
      <c r="D13" s="1">
        <v>44348</v>
      </c>
      <c r="E13">
        <v>103</v>
      </c>
      <c r="F13">
        <f t="shared" si="0"/>
        <v>0.27337251356238701</v>
      </c>
      <c r="G13">
        <v>2212</v>
      </c>
      <c r="H13">
        <v>1607.3</v>
      </c>
    </row>
    <row r="14" spans="1:8" x14ac:dyDescent="0.25">
      <c r="A14" t="s">
        <v>146</v>
      </c>
      <c r="B14" s="1"/>
      <c r="C14">
        <v>2023</v>
      </c>
      <c r="D14" s="1">
        <v>45061</v>
      </c>
      <c r="F14">
        <f t="shared" si="0"/>
        <v>0.4354066985645933</v>
      </c>
      <c r="G14">
        <v>2786.6666666666665</v>
      </c>
      <c r="H14">
        <v>1573.3333333333333</v>
      </c>
    </row>
    <row r="15" spans="1:8" x14ac:dyDescent="0.25">
      <c r="A15" t="s">
        <v>146</v>
      </c>
      <c r="B15" s="1">
        <v>45345</v>
      </c>
      <c r="C15">
        <v>2024</v>
      </c>
      <c r="D15" s="1">
        <v>45411</v>
      </c>
      <c r="E15">
        <v>66</v>
      </c>
      <c r="F15">
        <f t="shared" si="0"/>
        <v>0.49962149878872469</v>
      </c>
      <c r="G15">
        <v>1761.333333</v>
      </c>
      <c r="H15">
        <v>881.33333330000005</v>
      </c>
    </row>
    <row r="16" spans="1:8" x14ac:dyDescent="0.25">
      <c r="A16" t="s">
        <v>146</v>
      </c>
      <c r="B16" s="1">
        <v>45716</v>
      </c>
      <c r="C16">
        <v>2025</v>
      </c>
      <c r="D16" s="1">
        <v>45796</v>
      </c>
      <c r="E16">
        <v>80</v>
      </c>
      <c r="F16">
        <f t="shared" si="0"/>
        <v>0.47534883720930232</v>
      </c>
      <c r="G16">
        <v>3583.3333333333335</v>
      </c>
      <c r="H16">
        <v>1880</v>
      </c>
    </row>
    <row r="17" spans="1:8" x14ac:dyDescent="0.25">
      <c r="A17" t="s">
        <v>147</v>
      </c>
      <c r="B17" s="1">
        <v>43922</v>
      </c>
      <c r="C17">
        <v>2020</v>
      </c>
      <c r="D17" s="1">
        <v>43962</v>
      </c>
      <c r="E17">
        <v>40</v>
      </c>
      <c r="F17">
        <f t="shared" si="0"/>
        <v>0.18202429149797572</v>
      </c>
      <c r="G17">
        <v>4116.666666666667</v>
      </c>
      <c r="H17">
        <v>3367.3333333333335</v>
      </c>
    </row>
    <row r="18" spans="1:8" x14ac:dyDescent="0.25">
      <c r="A18" t="s">
        <v>147</v>
      </c>
      <c r="B18" s="1">
        <v>44240</v>
      </c>
      <c r="C18">
        <v>2021</v>
      </c>
      <c r="D18" s="1">
        <v>44366</v>
      </c>
      <c r="E18">
        <v>95</v>
      </c>
      <c r="F18">
        <f t="shared" si="0"/>
        <v>0.19256224393318633</v>
      </c>
      <c r="G18">
        <v>4230.666666666667</v>
      </c>
      <c r="H18">
        <v>3416</v>
      </c>
    </row>
    <row r="19" spans="1:8" x14ac:dyDescent="0.25">
      <c r="A19" t="s">
        <v>147</v>
      </c>
      <c r="B19" s="1">
        <v>44605</v>
      </c>
      <c r="C19">
        <v>2022</v>
      </c>
      <c r="D19" s="1">
        <v>44686</v>
      </c>
      <c r="E19">
        <v>81</v>
      </c>
      <c r="F19">
        <f t="shared" si="0"/>
        <v>0.67555401662049852</v>
      </c>
      <c r="G19">
        <v>1925.3333333333333</v>
      </c>
      <c r="H19">
        <v>624.66666666666663</v>
      </c>
    </row>
    <row r="20" spans="1:8" x14ac:dyDescent="0.25">
      <c r="A20" t="s">
        <v>147</v>
      </c>
      <c r="B20" s="1"/>
      <c r="C20">
        <v>2023</v>
      </c>
      <c r="D20" s="1">
        <v>45070</v>
      </c>
      <c r="F20">
        <f t="shared" si="0"/>
        <v>5.3299492385786969E-2</v>
      </c>
      <c r="G20">
        <v>2626.666666666667</v>
      </c>
      <c r="H20">
        <v>2486.6666666666665</v>
      </c>
    </row>
    <row r="21" spans="1:8" x14ac:dyDescent="0.25">
      <c r="A21" t="s">
        <v>147</v>
      </c>
      <c r="B21" s="1">
        <v>45342</v>
      </c>
      <c r="C21">
        <v>2024</v>
      </c>
      <c r="D21" s="1">
        <v>45427</v>
      </c>
      <c r="E21">
        <v>86</v>
      </c>
      <c r="F21">
        <f t="shared" si="0"/>
        <v>0.44337274427842033</v>
      </c>
      <c r="G21">
        <v>4285.3333329999996</v>
      </c>
      <c r="H21">
        <v>2385.333333</v>
      </c>
    </row>
    <row r="22" spans="1:8" x14ac:dyDescent="0.25">
      <c r="A22" t="s">
        <v>147</v>
      </c>
      <c r="B22" s="1">
        <v>45705</v>
      </c>
      <c r="C22">
        <v>2025</v>
      </c>
      <c r="D22" s="1">
        <v>45796</v>
      </c>
      <c r="E22">
        <v>91</v>
      </c>
      <c r="F22">
        <f t="shared" si="0"/>
        <v>0.4604764482945316</v>
      </c>
      <c r="G22">
        <v>4925.333333333333</v>
      </c>
      <c r="H22">
        <v>2657.3333333333335</v>
      </c>
    </row>
    <row r="23" spans="1:8" x14ac:dyDescent="0.25">
      <c r="A23" t="s">
        <v>147</v>
      </c>
      <c r="B23" s="1">
        <v>46082</v>
      </c>
      <c r="C23">
        <v>2026</v>
      </c>
      <c r="D23" s="1">
        <v>46160</v>
      </c>
      <c r="E23">
        <v>78</v>
      </c>
      <c r="F23">
        <f t="shared" si="0"/>
        <v>7.6530612244897961E-2</v>
      </c>
      <c r="G23">
        <v>3332</v>
      </c>
      <c r="H23">
        <v>3077</v>
      </c>
    </row>
    <row r="24" spans="1:8" x14ac:dyDescent="0.25">
      <c r="A24" t="s">
        <v>148</v>
      </c>
      <c r="B24" s="1"/>
      <c r="C24">
        <v>2023</v>
      </c>
      <c r="D24" s="1">
        <v>45068</v>
      </c>
      <c r="F24">
        <f t="shared" si="0"/>
        <v>0.52092050209205032</v>
      </c>
      <c r="G24">
        <v>3186.666666666667</v>
      </c>
      <c r="H24">
        <v>1526.6666666666665</v>
      </c>
    </row>
    <row r="25" spans="1:8" x14ac:dyDescent="0.25">
      <c r="A25" t="s">
        <v>148</v>
      </c>
      <c r="B25" s="1">
        <v>45355</v>
      </c>
      <c r="C25">
        <v>2024</v>
      </c>
      <c r="D25" s="1">
        <v>45441</v>
      </c>
      <c r="E25">
        <v>87</v>
      </c>
      <c r="F25">
        <f t="shared" si="0"/>
        <v>0.27327327316602318</v>
      </c>
      <c r="G25">
        <v>3108</v>
      </c>
      <c r="H25">
        <v>2258.666667</v>
      </c>
    </row>
    <row r="26" spans="1:8" x14ac:dyDescent="0.25">
      <c r="A26" t="s">
        <v>148</v>
      </c>
      <c r="B26" s="1">
        <v>45711</v>
      </c>
      <c r="C26">
        <v>2025</v>
      </c>
      <c r="D26" s="1">
        <v>45796</v>
      </c>
      <c r="E26">
        <v>85</v>
      </c>
      <c r="F26">
        <f t="shared" si="0"/>
        <v>0.3605479452054795</v>
      </c>
      <c r="G26">
        <v>2433.3333333333335</v>
      </c>
      <c r="H26">
        <v>1556</v>
      </c>
    </row>
    <row r="27" spans="1:8" x14ac:dyDescent="0.25">
      <c r="A27" t="s">
        <v>148</v>
      </c>
      <c r="B27" s="1">
        <v>46083</v>
      </c>
      <c r="C27">
        <v>2026</v>
      </c>
      <c r="D27" s="1">
        <v>46174</v>
      </c>
      <c r="E27">
        <v>91</v>
      </c>
      <c r="F27">
        <f t="shared" si="0"/>
        <v>0.35621260119676168</v>
      </c>
      <c r="G27">
        <v>2841</v>
      </c>
      <c r="H27">
        <v>1829</v>
      </c>
    </row>
    <row r="28" spans="1:8" x14ac:dyDescent="0.25">
      <c r="A28" t="s">
        <v>170</v>
      </c>
      <c r="B28" s="1">
        <v>43915</v>
      </c>
      <c r="C28">
        <v>2020</v>
      </c>
      <c r="D28" s="1">
        <v>43979</v>
      </c>
      <c r="E28">
        <v>65</v>
      </c>
      <c r="F28">
        <f t="shared" si="0"/>
        <v>0.2904676258992806</v>
      </c>
      <c r="G28">
        <v>2224</v>
      </c>
      <c r="H28">
        <v>1578</v>
      </c>
    </row>
    <row r="29" spans="1:8" x14ac:dyDescent="0.25">
      <c r="A29" t="s">
        <v>170</v>
      </c>
      <c r="B29" s="1">
        <v>44244</v>
      </c>
      <c r="C29">
        <v>2021</v>
      </c>
      <c r="D29" s="1">
        <v>44369</v>
      </c>
      <c r="E29">
        <v>125</v>
      </c>
      <c r="F29">
        <f t="shared" si="0"/>
        <v>2.6985587243176869E-2</v>
      </c>
      <c r="G29">
        <v>2174</v>
      </c>
      <c r="H29">
        <v>2115.3333333333335</v>
      </c>
    </row>
    <row r="30" spans="1:8" x14ac:dyDescent="0.25">
      <c r="A30" t="s">
        <v>170</v>
      </c>
      <c r="B30" s="1">
        <v>44653</v>
      </c>
      <c r="C30">
        <v>2022</v>
      </c>
      <c r="D30" s="1">
        <v>44729</v>
      </c>
      <c r="E30">
        <v>77</v>
      </c>
      <c r="F30">
        <f t="shared" si="0"/>
        <v>-7.7393075356415597E-2</v>
      </c>
      <c r="G30">
        <v>654.66666666666663</v>
      </c>
      <c r="H30">
        <v>705.33333333333337</v>
      </c>
    </row>
    <row r="31" spans="1:8" x14ac:dyDescent="0.25">
      <c r="A31" t="s">
        <v>170</v>
      </c>
      <c r="B31" s="1"/>
      <c r="C31">
        <v>2023</v>
      </c>
      <c r="D31" s="1">
        <v>45127</v>
      </c>
      <c r="F31">
        <f t="shared" si="0"/>
        <v>-0.23809523809523817</v>
      </c>
      <c r="G31">
        <v>952</v>
      </c>
      <c r="H31">
        <v>1178.6666666666667</v>
      </c>
    </row>
    <row r="32" spans="1:8" x14ac:dyDescent="0.25">
      <c r="A32" t="s">
        <v>151</v>
      </c>
      <c r="B32" s="1">
        <v>43915</v>
      </c>
      <c r="C32">
        <v>2020</v>
      </c>
      <c r="D32" s="1">
        <v>43971</v>
      </c>
      <c r="E32">
        <v>57</v>
      </c>
      <c r="F32">
        <f t="shared" si="0"/>
        <v>0.48333333333333334</v>
      </c>
      <c r="G32">
        <v>2720</v>
      </c>
      <c r="H32">
        <v>1405.3333333333333</v>
      </c>
    </row>
    <row r="33" spans="1:8" x14ac:dyDescent="0.25">
      <c r="A33" t="s">
        <v>151</v>
      </c>
      <c r="B33" s="1">
        <v>44241</v>
      </c>
      <c r="C33">
        <v>2021</v>
      </c>
      <c r="D33" s="1">
        <v>44348</v>
      </c>
      <c r="E33">
        <v>109</v>
      </c>
      <c r="F33">
        <f t="shared" si="0"/>
        <v>0.41181506849315064</v>
      </c>
      <c r="G33">
        <v>1557.3333333333333</v>
      </c>
      <c r="H33">
        <v>916</v>
      </c>
    </row>
    <row r="34" spans="1:8" x14ac:dyDescent="0.25">
      <c r="A34" t="s">
        <v>151</v>
      </c>
      <c r="B34" s="1">
        <v>44602</v>
      </c>
      <c r="C34">
        <v>2022</v>
      </c>
      <c r="D34" s="1">
        <v>44679</v>
      </c>
      <c r="E34">
        <v>77</v>
      </c>
      <c r="F34">
        <f t="shared" si="0"/>
        <v>-0.59728506787330315</v>
      </c>
      <c r="G34">
        <v>589.33333333333337</v>
      </c>
      <c r="H34">
        <v>941.33333333333337</v>
      </c>
    </row>
    <row r="35" spans="1:8" x14ac:dyDescent="0.25">
      <c r="A35" t="s">
        <v>152</v>
      </c>
      <c r="B35" s="1"/>
      <c r="C35">
        <v>2023</v>
      </c>
      <c r="D35" s="1">
        <v>45070</v>
      </c>
      <c r="F35">
        <f t="shared" si="0"/>
        <v>0.32229580573951427</v>
      </c>
      <c r="G35">
        <v>3020</v>
      </c>
      <c r="H35">
        <v>2046.666666666667</v>
      </c>
    </row>
    <row r="36" spans="1:8" x14ac:dyDescent="0.25">
      <c r="A36" t="s">
        <v>152</v>
      </c>
      <c r="B36" s="1">
        <v>45339</v>
      </c>
      <c r="C36">
        <v>2024</v>
      </c>
      <c r="D36" s="1">
        <v>45427</v>
      </c>
      <c r="E36">
        <v>89</v>
      </c>
      <c r="F36">
        <f t="shared" si="0"/>
        <v>0.44247787610619471</v>
      </c>
      <c r="G36">
        <v>904</v>
      </c>
      <c r="H36">
        <v>504</v>
      </c>
    </row>
    <row r="37" spans="1:8" x14ac:dyDescent="0.25">
      <c r="A37" t="s">
        <v>152</v>
      </c>
      <c r="B37" s="1">
        <v>45705</v>
      </c>
      <c r="C37">
        <v>2025</v>
      </c>
      <c r="D37" s="1">
        <v>45796</v>
      </c>
      <c r="E37">
        <v>91</v>
      </c>
      <c r="F37">
        <f t="shared" si="0"/>
        <v>0.12294220665499125</v>
      </c>
      <c r="G37">
        <v>1903.3333333333333</v>
      </c>
      <c r="H37">
        <v>1669.3333333333333</v>
      </c>
    </row>
    <row r="38" spans="1:8" x14ac:dyDescent="0.25">
      <c r="A38" t="s">
        <v>152</v>
      </c>
      <c r="B38" s="1">
        <v>46071</v>
      </c>
      <c r="C38">
        <v>2026</v>
      </c>
      <c r="D38" s="1">
        <v>46160</v>
      </c>
      <c r="E38">
        <v>89</v>
      </c>
      <c r="F38">
        <f t="shared" si="0"/>
        <v>-0.24002574002574004</v>
      </c>
      <c r="G38">
        <v>1554</v>
      </c>
      <c r="H38">
        <v>1927</v>
      </c>
    </row>
    <row r="39" spans="1:8" x14ac:dyDescent="0.25">
      <c r="A39" t="s">
        <v>154</v>
      </c>
      <c r="B39" s="1">
        <v>43915</v>
      </c>
      <c r="C39">
        <v>2020</v>
      </c>
      <c r="D39" s="1">
        <v>43978</v>
      </c>
      <c r="E39">
        <v>64</v>
      </c>
      <c r="F39">
        <f t="shared" si="0"/>
        <v>9.1886269070735133E-2</v>
      </c>
      <c r="G39">
        <v>961.33333333333337</v>
      </c>
      <c r="H39">
        <v>873</v>
      </c>
    </row>
    <row r="40" spans="1:8" x14ac:dyDescent="0.25">
      <c r="A40" t="s">
        <v>154</v>
      </c>
      <c r="B40" s="1">
        <v>44238</v>
      </c>
      <c r="C40">
        <v>2021</v>
      </c>
      <c r="D40" s="1">
        <v>44348</v>
      </c>
      <c r="E40">
        <v>110</v>
      </c>
      <c r="F40">
        <f t="shared" si="0"/>
        <v>0.1186463651561018</v>
      </c>
      <c r="G40">
        <v>2213.3000000000002</v>
      </c>
      <c r="H40">
        <v>1950.7</v>
      </c>
    </row>
    <row r="41" spans="1:8" x14ac:dyDescent="0.25">
      <c r="A41" t="s">
        <v>155</v>
      </c>
      <c r="B41" s="1">
        <v>44607</v>
      </c>
      <c r="C41">
        <v>2022</v>
      </c>
      <c r="D41" s="1">
        <v>44754</v>
      </c>
      <c r="E41">
        <v>102</v>
      </c>
      <c r="F41">
        <f t="shared" si="0"/>
        <v>0.40736342042755347</v>
      </c>
      <c r="G41">
        <v>1122.6666666666667</v>
      </c>
      <c r="H41">
        <v>665.33333333333337</v>
      </c>
    </row>
    <row r="42" spans="1:8" x14ac:dyDescent="0.25">
      <c r="A42" t="s">
        <v>155</v>
      </c>
      <c r="B42" s="1"/>
      <c r="C42">
        <v>2023</v>
      </c>
      <c r="D42" s="1">
        <v>45071</v>
      </c>
      <c r="F42">
        <f t="shared" si="0"/>
        <v>0.22137404580152659</v>
      </c>
      <c r="G42">
        <v>2619.9999999999995</v>
      </c>
      <c r="H42">
        <v>2040</v>
      </c>
    </row>
    <row r="43" spans="1:8" x14ac:dyDescent="0.25">
      <c r="A43" t="s">
        <v>156</v>
      </c>
      <c r="B43" s="1">
        <v>45348</v>
      </c>
      <c r="C43">
        <v>2024</v>
      </c>
      <c r="D43" s="1">
        <v>45436</v>
      </c>
      <c r="E43">
        <v>89</v>
      </c>
      <c r="F43">
        <f t="shared" si="0"/>
        <v>0.14932767144373676</v>
      </c>
      <c r="G43">
        <v>1884</v>
      </c>
      <c r="H43">
        <v>1602.666667</v>
      </c>
    </row>
    <row r="44" spans="1:8" x14ac:dyDescent="0.25">
      <c r="A44" t="s">
        <v>156</v>
      </c>
      <c r="B44" s="1">
        <v>45719</v>
      </c>
      <c r="C44">
        <v>2025</v>
      </c>
      <c r="D44" s="1">
        <v>45796</v>
      </c>
      <c r="E44">
        <v>77</v>
      </c>
      <c r="F44">
        <f t="shared" si="0"/>
        <v>0.24271844660194178</v>
      </c>
      <c r="G44">
        <v>1510.6666666666667</v>
      </c>
      <c r="H44">
        <v>1144</v>
      </c>
    </row>
    <row r="45" spans="1:8" x14ac:dyDescent="0.25">
      <c r="A45" t="s">
        <v>157</v>
      </c>
      <c r="B45" s="1">
        <v>46081</v>
      </c>
      <c r="C45">
        <v>2026</v>
      </c>
      <c r="D45" s="1">
        <v>46174</v>
      </c>
      <c r="E45">
        <v>93</v>
      </c>
      <c r="F45">
        <f t="shared" si="0"/>
        <v>0.44919786096256686</v>
      </c>
      <c r="G45">
        <v>1683</v>
      </c>
      <c r="H45">
        <v>927</v>
      </c>
    </row>
    <row r="46" spans="1:8" x14ac:dyDescent="0.25">
      <c r="A46" t="s">
        <v>158</v>
      </c>
      <c r="B46" s="1"/>
      <c r="C46">
        <v>2023</v>
      </c>
      <c r="D46" s="1">
        <v>45071</v>
      </c>
      <c r="F46">
        <f t="shared" si="0"/>
        <v>8.9385474860335073E-2</v>
      </c>
      <c r="G46">
        <v>1193.3333333333333</v>
      </c>
      <c r="H46">
        <v>1086.6666666666667</v>
      </c>
    </row>
    <row r="47" spans="1:8" x14ac:dyDescent="0.25">
      <c r="A47" t="s">
        <v>158</v>
      </c>
      <c r="B47" s="1">
        <v>45348</v>
      </c>
      <c r="C47">
        <v>2024</v>
      </c>
      <c r="D47" s="1">
        <v>45436</v>
      </c>
      <c r="E47">
        <v>89</v>
      </c>
      <c r="F47">
        <f t="shared" si="0"/>
        <v>-2.8810589838427186E-2</v>
      </c>
      <c r="G47">
        <v>3424.6666666666665</v>
      </c>
      <c r="H47">
        <v>3523.3333333333335</v>
      </c>
    </row>
    <row r="48" spans="1:8" x14ac:dyDescent="0.25">
      <c r="A48" t="s">
        <v>158</v>
      </c>
      <c r="B48" s="1"/>
      <c r="C48">
        <v>2026</v>
      </c>
      <c r="D48" s="1"/>
      <c r="F48">
        <f t="shared" si="0"/>
        <v>0.37106724244293648</v>
      </c>
      <c r="G48">
        <v>3242</v>
      </c>
      <c r="H48">
        <v>2039</v>
      </c>
    </row>
    <row r="49" spans="1:8" x14ac:dyDescent="0.25">
      <c r="A49" t="s">
        <v>158</v>
      </c>
      <c r="B49" s="1">
        <v>45713</v>
      </c>
      <c r="C49">
        <v>2025</v>
      </c>
      <c r="D49" s="1">
        <v>45796</v>
      </c>
      <c r="E49">
        <v>83</v>
      </c>
      <c r="F49">
        <f t="shared" si="0"/>
        <v>0.15481495834140666</v>
      </c>
      <c r="G49">
        <v>3440.6666666666665</v>
      </c>
      <c r="H49">
        <v>2908</v>
      </c>
    </row>
    <row r="50" spans="1:8" x14ac:dyDescent="0.25">
      <c r="A50" t="s">
        <v>158</v>
      </c>
      <c r="B50" s="1">
        <v>46081</v>
      </c>
      <c r="C50">
        <v>2026</v>
      </c>
      <c r="D50" s="1">
        <v>46174</v>
      </c>
      <c r="E50">
        <v>93</v>
      </c>
      <c r="F50">
        <f t="shared" si="0"/>
        <v>0.37106724244293648</v>
      </c>
      <c r="G50">
        <v>3242</v>
      </c>
      <c r="H50">
        <v>2039</v>
      </c>
    </row>
    <row r="51" spans="1:8" x14ac:dyDescent="0.25">
      <c r="A51" t="s">
        <v>160</v>
      </c>
      <c r="B51" s="1"/>
      <c r="C51">
        <v>2023</v>
      </c>
      <c r="D51" s="1">
        <v>45071</v>
      </c>
      <c r="F51">
        <f t="shared" si="0"/>
        <v>1.097560975609756E-2</v>
      </c>
      <c r="G51">
        <v>2460</v>
      </c>
      <c r="H51">
        <v>2433</v>
      </c>
    </row>
    <row r="52" spans="1:8" x14ac:dyDescent="0.25">
      <c r="A52" t="s">
        <v>160</v>
      </c>
      <c r="B52" s="1">
        <v>45356</v>
      </c>
      <c r="C52">
        <v>2024</v>
      </c>
      <c r="D52" s="1">
        <v>45433</v>
      </c>
      <c r="E52">
        <v>78</v>
      </c>
      <c r="F52">
        <f t="shared" si="0"/>
        <v>0.33270764891280008</v>
      </c>
      <c r="G52">
        <v>2841.333333</v>
      </c>
      <c r="H52">
        <v>1896</v>
      </c>
    </row>
    <row r="53" spans="1:8" x14ac:dyDescent="0.25">
      <c r="A53" t="s">
        <v>160</v>
      </c>
      <c r="B53" s="1">
        <v>45718</v>
      </c>
      <c r="C53">
        <v>2025</v>
      </c>
      <c r="D53" s="1">
        <v>45796</v>
      </c>
      <c r="E53">
        <v>78</v>
      </c>
      <c r="F53">
        <f t="shared" si="0"/>
        <v>0.31644238856181656</v>
      </c>
      <c r="G53">
        <v>3170.6666666666665</v>
      </c>
      <c r="H53">
        <v>2167.3333333333335</v>
      </c>
    </row>
    <row r="54" spans="1:8" x14ac:dyDescent="0.25">
      <c r="A54" t="s">
        <v>160</v>
      </c>
      <c r="B54" s="1">
        <v>46083</v>
      </c>
      <c r="C54">
        <v>2026</v>
      </c>
      <c r="D54" s="1">
        <v>46160</v>
      </c>
      <c r="E54">
        <v>77</v>
      </c>
      <c r="F54">
        <f t="shared" si="0"/>
        <v>0.39296333002973238</v>
      </c>
      <c r="G54">
        <v>4036</v>
      </c>
      <c r="H54">
        <v>2450</v>
      </c>
    </row>
    <row r="55" spans="1:8" x14ac:dyDescent="0.25">
      <c r="A55" t="s">
        <v>161</v>
      </c>
      <c r="B55" s="1">
        <v>43922</v>
      </c>
      <c r="C55">
        <v>2020</v>
      </c>
      <c r="D55" s="1">
        <v>43971</v>
      </c>
      <c r="E55">
        <v>50</v>
      </c>
      <c r="F55">
        <f t="shared" si="0"/>
        <v>0.5662894098625707</v>
      </c>
      <c r="G55">
        <v>1649.3333333333333</v>
      </c>
      <c r="H55">
        <v>715.33333333333337</v>
      </c>
    </row>
    <row r="56" spans="1:8" x14ac:dyDescent="0.25">
      <c r="A56" t="s">
        <v>161</v>
      </c>
      <c r="B56" s="1">
        <v>44232</v>
      </c>
      <c r="C56">
        <v>2021</v>
      </c>
      <c r="D56" s="1">
        <v>44348</v>
      </c>
      <c r="E56">
        <v>116</v>
      </c>
      <c r="F56">
        <f t="shared" si="0"/>
        <v>0.65455684309426865</v>
      </c>
      <c r="G56">
        <v>2128.6666666666665</v>
      </c>
      <c r="H56">
        <v>735.33333333333337</v>
      </c>
    </row>
    <row r="57" spans="1:8" x14ac:dyDescent="0.25">
      <c r="A57" t="s">
        <v>161</v>
      </c>
      <c r="B57" s="1">
        <v>44607</v>
      </c>
      <c r="C57">
        <v>2022</v>
      </c>
      <c r="D57" s="1">
        <v>44692</v>
      </c>
      <c r="E57">
        <v>85</v>
      </c>
      <c r="F57">
        <f t="shared" si="0"/>
        <v>0.70060606060606057</v>
      </c>
      <c r="G57">
        <v>1650</v>
      </c>
      <c r="H57">
        <v>494</v>
      </c>
    </row>
    <row r="58" spans="1:8" x14ac:dyDescent="0.25">
      <c r="A58" t="s">
        <v>162</v>
      </c>
      <c r="B58" s="1"/>
      <c r="C58">
        <v>2023</v>
      </c>
      <c r="D58" s="1">
        <v>45071</v>
      </c>
      <c r="F58">
        <f t="shared" si="0"/>
        <v>0.53664921465968585</v>
      </c>
      <c r="G58">
        <v>2546.6666666666665</v>
      </c>
      <c r="H58">
        <v>1180</v>
      </c>
    </row>
    <row r="59" spans="1:8" x14ac:dyDescent="0.25">
      <c r="A59" t="s">
        <v>162</v>
      </c>
      <c r="B59" s="1">
        <v>45337</v>
      </c>
      <c r="C59">
        <v>2024</v>
      </c>
      <c r="D59" s="1">
        <v>45433</v>
      </c>
      <c r="E59">
        <v>97</v>
      </c>
      <c r="F59">
        <f t="shared" si="0"/>
        <v>0.42947397342398019</v>
      </c>
      <c r="G59">
        <v>4854</v>
      </c>
      <c r="H59">
        <v>2769.333333</v>
      </c>
    </row>
    <row r="60" spans="1:8" x14ac:dyDescent="0.25">
      <c r="A60" t="s">
        <v>162</v>
      </c>
      <c r="B60" s="1">
        <v>45698</v>
      </c>
      <c r="C60">
        <v>2025</v>
      </c>
      <c r="D60" s="1">
        <v>45796</v>
      </c>
      <c r="E60">
        <v>98</v>
      </c>
      <c r="F60">
        <f t="shared" si="0"/>
        <v>0.58483483483483478</v>
      </c>
      <c r="G60">
        <v>2664</v>
      </c>
      <c r="H60">
        <v>1106</v>
      </c>
    </row>
    <row r="61" spans="1:8" x14ac:dyDescent="0.25">
      <c r="A61" t="s">
        <v>162</v>
      </c>
      <c r="B61" s="1">
        <v>46070</v>
      </c>
      <c r="C61">
        <v>2026</v>
      </c>
      <c r="D61" s="1">
        <v>46160</v>
      </c>
      <c r="E61">
        <v>90</v>
      </c>
      <c r="F61">
        <f t="shared" si="0"/>
        <v>0.5678260869565217</v>
      </c>
      <c r="G61">
        <v>2300</v>
      </c>
      <c r="H61">
        <v>994</v>
      </c>
    </row>
    <row r="62" spans="1:8" x14ac:dyDescent="0.25">
      <c r="A62" t="s">
        <v>163</v>
      </c>
      <c r="B62" s="1"/>
      <c r="C62">
        <v>2023</v>
      </c>
      <c r="D62" s="1">
        <v>45034</v>
      </c>
      <c r="F62">
        <f t="shared" si="0"/>
        <v>0.53670985473105615</v>
      </c>
      <c r="G62">
        <v>2547</v>
      </c>
      <c r="H62">
        <v>1180</v>
      </c>
    </row>
    <row r="63" spans="1:8" x14ac:dyDescent="0.25">
      <c r="A63" t="s">
        <v>362</v>
      </c>
      <c r="B63" s="1">
        <v>43915</v>
      </c>
      <c r="C63">
        <v>2020</v>
      </c>
      <c r="D63" s="1">
        <v>43978</v>
      </c>
      <c r="E63">
        <v>64</v>
      </c>
      <c r="F63">
        <f t="shared" si="0"/>
        <v>0.32443905397210432</v>
      </c>
      <c r="G63">
        <v>1099.3333333333333</v>
      </c>
      <c r="H63">
        <v>742.66666666666663</v>
      </c>
    </row>
    <row r="64" spans="1:8" x14ac:dyDescent="0.25">
      <c r="A64" t="s">
        <v>362</v>
      </c>
      <c r="B64" s="1">
        <v>44243</v>
      </c>
      <c r="C64">
        <v>2021</v>
      </c>
      <c r="D64" s="1">
        <v>44356</v>
      </c>
      <c r="E64">
        <v>113</v>
      </c>
      <c r="F64">
        <f t="shared" si="0"/>
        <v>0.64142657528777702</v>
      </c>
      <c r="G64">
        <v>4508.7</v>
      </c>
      <c r="H64">
        <v>1616.7</v>
      </c>
    </row>
    <row r="65" spans="1:10" x14ac:dyDescent="0.25">
      <c r="A65" t="s">
        <v>362</v>
      </c>
      <c r="B65" s="1">
        <v>44674</v>
      </c>
      <c r="C65">
        <v>2022</v>
      </c>
      <c r="D65" s="1">
        <v>44679</v>
      </c>
      <c r="E65">
        <v>64</v>
      </c>
      <c r="F65">
        <f t="shared" si="0"/>
        <v>0.50418994413407825</v>
      </c>
      <c r="G65">
        <v>477.33333333333331</v>
      </c>
      <c r="H65">
        <v>236.66666666666666</v>
      </c>
    </row>
    <row r="66" spans="1:10" x14ac:dyDescent="0.25">
      <c r="A66" t="s">
        <v>362</v>
      </c>
      <c r="B66" s="1"/>
      <c r="C66">
        <v>2023</v>
      </c>
      <c r="D66" s="1">
        <v>45083</v>
      </c>
      <c r="F66">
        <f t="shared" ref="F66:F127" si="1">(G66-H66)/G66</f>
        <v>0.48539487919221058</v>
      </c>
      <c r="G66">
        <v>2773</v>
      </c>
      <c r="H66">
        <v>1427</v>
      </c>
    </row>
    <row r="67" spans="1:10" x14ac:dyDescent="0.25">
      <c r="A67" t="s">
        <v>362</v>
      </c>
      <c r="B67" s="1">
        <v>45352</v>
      </c>
      <c r="C67">
        <v>2024</v>
      </c>
      <c r="D67" s="1">
        <v>45434</v>
      </c>
      <c r="E67">
        <v>83</v>
      </c>
      <c r="F67">
        <f t="shared" si="1"/>
        <v>0.2944387581883316</v>
      </c>
      <c r="G67">
        <v>3908</v>
      </c>
      <c r="H67">
        <v>2757.333333</v>
      </c>
    </row>
    <row r="68" spans="1:10" x14ac:dyDescent="0.25">
      <c r="A68" t="s">
        <v>362</v>
      </c>
      <c r="B68" s="1">
        <v>45713</v>
      </c>
      <c r="C68">
        <v>2025</v>
      </c>
      <c r="D68" s="1">
        <v>45796</v>
      </c>
      <c r="E68">
        <v>83</v>
      </c>
      <c r="F68">
        <f t="shared" si="1"/>
        <v>0.27043688019297779</v>
      </c>
      <c r="G68">
        <v>2487.3333333333335</v>
      </c>
      <c r="H68">
        <v>1814.6666666666667</v>
      </c>
    </row>
    <row r="69" spans="1:10" x14ac:dyDescent="0.25">
      <c r="A69" t="s">
        <v>362</v>
      </c>
      <c r="B69" s="1">
        <v>46078</v>
      </c>
      <c r="C69">
        <v>2026</v>
      </c>
      <c r="D69" s="1">
        <v>46160</v>
      </c>
      <c r="E69">
        <v>82</v>
      </c>
      <c r="F69">
        <f t="shared" si="1"/>
        <v>-6.9008264462809915E-2</v>
      </c>
      <c r="G69">
        <v>2420</v>
      </c>
      <c r="H69">
        <v>2587</v>
      </c>
    </row>
    <row r="70" spans="1:10" x14ac:dyDescent="0.25">
      <c r="A70" t="s">
        <v>165</v>
      </c>
      <c r="B70" s="1">
        <v>43922</v>
      </c>
      <c r="C70">
        <v>2020</v>
      </c>
      <c r="D70" s="1">
        <v>43971</v>
      </c>
      <c r="E70">
        <v>50</v>
      </c>
      <c r="F70">
        <f t="shared" si="1"/>
        <v>0.11279497726780693</v>
      </c>
      <c r="G70">
        <v>3079.3333333333335</v>
      </c>
      <c r="H70">
        <v>2732</v>
      </c>
    </row>
    <row r="71" spans="1:10" x14ac:dyDescent="0.25">
      <c r="A71" t="s">
        <v>165</v>
      </c>
      <c r="B71" s="1">
        <v>44270</v>
      </c>
      <c r="C71">
        <v>2021</v>
      </c>
      <c r="D71" s="1">
        <v>44373</v>
      </c>
      <c r="E71">
        <v>72</v>
      </c>
      <c r="F71">
        <f t="shared" si="1"/>
        <v>0.40736914600550966</v>
      </c>
      <c r="G71">
        <v>1936</v>
      </c>
      <c r="H71">
        <v>1147.3333333333333</v>
      </c>
    </row>
    <row r="72" spans="1:10" x14ac:dyDescent="0.25">
      <c r="A72" t="s">
        <v>165</v>
      </c>
      <c r="B72" s="1">
        <v>44635</v>
      </c>
      <c r="C72">
        <v>2022</v>
      </c>
      <c r="D72" s="1">
        <v>44711</v>
      </c>
      <c r="E72">
        <v>76</v>
      </c>
      <c r="F72">
        <f t="shared" si="1"/>
        <v>4.2455242966751863E-2</v>
      </c>
      <c r="G72">
        <v>1303.3333333333333</v>
      </c>
      <c r="H72">
        <v>1248</v>
      </c>
    </row>
    <row r="73" spans="1:10" x14ac:dyDescent="0.25">
      <c r="A73" t="s">
        <v>165</v>
      </c>
      <c r="B73" s="1"/>
      <c r="C73">
        <v>2023</v>
      </c>
      <c r="D73" s="1">
        <v>45083</v>
      </c>
      <c r="F73">
        <f t="shared" si="1"/>
        <v>1.0356731875719217E-2</v>
      </c>
      <c r="G73">
        <v>2607</v>
      </c>
      <c r="H73">
        <v>2580</v>
      </c>
    </row>
    <row r="74" spans="1:10" x14ac:dyDescent="0.25">
      <c r="A74" t="s">
        <v>165</v>
      </c>
      <c r="B74" s="1">
        <v>45357</v>
      </c>
      <c r="C74">
        <v>2024</v>
      </c>
      <c r="D74" s="1">
        <v>45440</v>
      </c>
      <c r="E74">
        <v>84</v>
      </c>
      <c r="F74">
        <f t="shared" si="1"/>
        <v>-0.11970370355555557</v>
      </c>
      <c r="G74">
        <v>2250</v>
      </c>
      <c r="H74">
        <v>2519.333333</v>
      </c>
    </row>
    <row r="75" spans="1:10" x14ac:dyDescent="0.25">
      <c r="A75" t="s">
        <v>167</v>
      </c>
      <c r="B75" s="1">
        <v>43922</v>
      </c>
      <c r="C75">
        <v>2020</v>
      </c>
      <c r="D75" s="1">
        <v>43991</v>
      </c>
      <c r="E75">
        <v>70</v>
      </c>
      <c r="F75">
        <f t="shared" si="1"/>
        <v>0.15064032993271118</v>
      </c>
      <c r="G75">
        <v>3071.3333333333335</v>
      </c>
      <c r="H75">
        <v>2608.6666666666665</v>
      </c>
    </row>
    <row r="76" spans="1:10" x14ac:dyDescent="0.25">
      <c r="A76" t="s">
        <v>167</v>
      </c>
      <c r="B76" s="1">
        <v>44258</v>
      </c>
      <c r="C76">
        <v>2021</v>
      </c>
      <c r="D76" s="1">
        <v>44361</v>
      </c>
      <c r="E76">
        <v>103</v>
      </c>
      <c r="F76">
        <f t="shared" si="1"/>
        <v>0.16236807593830013</v>
      </c>
      <c r="G76">
        <v>1601.3</v>
      </c>
      <c r="H76">
        <v>1341.3</v>
      </c>
    </row>
    <row r="77" spans="1:10" x14ac:dyDescent="0.25">
      <c r="A77" t="s">
        <v>167</v>
      </c>
      <c r="B77" s="1">
        <v>44622</v>
      </c>
      <c r="C77">
        <v>2022</v>
      </c>
      <c r="D77" s="1">
        <v>44721</v>
      </c>
      <c r="E77">
        <v>99</v>
      </c>
      <c r="F77">
        <f t="shared" si="1"/>
        <v>0.29547141796585008</v>
      </c>
      <c r="G77">
        <v>1796</v>
      </c>
      <c r="H77">
        <v>1265.3333333333333</v>
      </c>
    </row>
    <row r="78" spans="1:10" x14ac:dyDescent="0.25">
      <c r="A78" t="s">
        <v>167</v>
      </c>
      <c r="C78">
        <v>2023</v>
      </c>
      <c r="D78" s="1">
        <v>45079</v>
      </c>
      <c r="F78">
        <f t="shared" si="1"/>
        <v>0.32098765432098764</v>
      </c>
      <c r="G78">
        <v>3240</v>
      </c>
      <c r="H78">
        <v>2200</v>
      </c>
      <c r="J78" s="1"/>
    </row>
    <row r="79" spans="1:10" x14ac:dyDescent="0.25">
      <c r="A79" t="s">
        <v>167</v>
      </c>
      <c r="B79" s="1">
        <v>45362</v>
      </c>
      <c r="C79">
        <v>2024</v>
      </c>
      <c r="D79" s="1">
        <v>45443</v>
      </c>
      <c r="E79">
        <v>82</v>
      </c>
      <c r="F79">
        <f t="shared" si="1"/>
        <v>-0.1180987206797255</v>
      </c>
      <c r="G79">
        <v>1823.333333</v>
      </c>
      <c r="H79">
        <v>2038.666667</v>
      </c>
    </row>
    <row r="80" spans="1:10" x14ac:dyDescent="0.25">
      <c r="A80" t="s">
        <v>167</v>
      </c>
      <c r="B80" s="1">
        <v>45741</v>
      </c>
      <c r="C80">
        <v>2025</v>
      </c>
      <c r="D80" s="1">
        <v>45813</v>
      </c>
      <c r="E80">
        <v>72</v>
      </c>
      <c r="F80">
        <f t="shared" si="1"/>
        <v>0.21558685446009393</v>
      </c>
      <c r="G80">
        <v>3550</v>
      </c>
      <c r="H80">
        <v>2784.6666666666665</v>
      </c>
    </row>
    <row r="81" spans="1:8" x14ac:dyDescent="0.25">
      <c r="A81" t="s">
        <v>167</v>
      </c>
      <c r="B81" s="1">
        <v>46059</v>
      </c>
      <c r="C81">
        <v>2026</v>
      </c>
      <c r="D81" s="1">
        <v>46184</v>
      </c>
      <c r="E81">
        <v>125</v>
      </c>
      <c r="F81">
        <f t="shared" si="1"/>
        <v>7.5614366729678639E-2</v>
      </c>
      <c r="G81">
        <v>3703</v>
      </c>
      <c r="H81">
        <v>3423</v>
      </c>
    </row>
    <row r="82" spans="1:8" x14ac:dyDescent="0.25">
      <c r="A82" t="s">
        <v>173</v>
      </c>
      <c r="B82" s="1">
        <v>44301</v>
      </c>
      <c r="C82">
        <v>2021</v>
      </c>
      <c r="D82" s="1">
        <v>44361</v>
      </c>
      <c r="E82">
        <v>60</v>
      </c>
      <c r="F82">
        <f t="shared" si="1"/>
        <v>0.19890582258694797</v>
      </c>
      <c r="G82">
        <v>1706</v>
      </c>
      <c r="H82">
        <v>1366.6666666666667</v>
      </c>
    </row>
    <row r="83" spans="1:8" x14ac:dyDescent="0.25">
      <c r="A83" t="s">
        <v>173</v>
      </c>
      <c r="B83" s="1">
        <v>44661</v>
      </c>
      <c r="C83">
        <v>2022</v>
      </c>
      <c r="D83" s="1">
        <v>44721</v>
      </c>
      <c r="E83">
        <v>60</v>
      </c>
      <c r="F83">
        <f t="shared" si="1"/>
        <v>1.811594202898556E-2</v>
      </c>
      <c r="G83">
        <v>736</v>
      </c>
      <c r="H83">
        <v>722.66666666666663</v>
      </c>
    </row>
    <row r="84" spans="1:8" x14ac:dyDescent="0.25">
      <c r="A84" t="s">
        <v>173</v>
      </c>
      <c r="B84" s="1"/>
      <c r="C84">
        <v>2023</v>
      </c>
      <c r="D84" s="1">
        <v>45079</v>
      </c>
      <c r="F84">
        <f t="shared" si="1"/>
        <v>0.17888563049853373</v>
      </c>
      <c r="G84">
        <v>2387</v>
      </c>
      <c r="H84">
        <v>1960</v>
      </c>
    </row>
    <row r="85" spans="1:8" x14ac:dyDescent="0.25">
      <c r="A85" t="s">
        <v>173</v>
      </c>
      <c r="B85" s="1">
        <v>45352</v>
      </c>
      <c r="C85">
        <v>2024</v>
      </c>
      <c r="D85" s="1">
        <v>45443</v>
      </c>
      <c r="E85">
        <v>92</v>
      </c>
      <c r="F85">
        <f t="shared" si="1"/>
        <v>0.42281017202964427</v>
      </c>
      <c r="G85">
        <v>2595.333333</v>
      </c>
      <c r="H85">
        <v>1498</v>
      </c>
    </row>
    <row r="86" spans="1:8" x14ac:dyDescent="0.25">
      <c r="A86" t="s">
        <v>173</v>
      </c>
      <c r="B86" s="1">
        <v>45753</v>
      </c>
      <c r="C86">
        <v>2025</v>
      </c>
      <c r="D86" s="1">
        <v>45813</v>
      </c>
      <c r="E86">
        <v>60</v>
      </c>
      <c r="F86">
        <f t="shared" si="1"/>
        <v>-0.14990072799470539</v>
      </c>
      <c r="G86">
        <v>4029.3333333333335</v>
      </c>
      <c r="H86">
        <v>4633.333333333333</v>
      </c>
    </row>
    <row r="87" spans="1:8" x14ac:dyDescent="0.25">
      <c r="A87" t="s">
        <v>174</v>
      </c>
      <c r="B87" s="1">
        <v>43915</v>
      </c>
      <c r="C87">
        <v>2020</v>
      </c>
      <c r="D87" s="1">
        <v>43959</v>
      </c>
      <c r="E87">
        <v>44</v>
      </c>
      <c r="F87">
        <f t="shared" si="1"/>
        <v>0.63734835355285968</v>
      </c>
      <c r="G87">
        <v>1538.6666666666667</v>
      </c>
      <c r="H87">
        <v>558</v>
      </c>
    </row>
    <row r="88" spans="1:8" x14ac:dyDescent="0.25">
      <c r="A88" t="s">
        <v>174</v>
      </c>
      <c r="B88" s="1">
        <v>44253</v>
      </c>
      <c r="C88">
        <v>2021</v>
      </c>
      <c r="D88" s="1">
        <v>44328</v>
      </c>
      <c r="E88">
        <v>75</v>
      </c>
      <c r="F88">
        <f t="shared" si="1"/>
        <v>0.79967948717948723</v>
      </c>
      <c r="G88">
        <v>1248</v>
      </c>
      <c r="H88">
        <v>250</v>
      </c>
    </row>
    <row r="89" spans="1:8" x14ac:dyDescent="0.25">
      <c r="A89" t="s">
        <v>174</v>
      </c>
      <c r="B89" s="1">
        <v>44625</v>
      </c>
      <c r="C89">
        <v>2022</v>
      </c>
      <c r="D89" s="1">
        <v>44691</v>
      </c>
      <c r="E89">
        <v>66</v>
      </c>
      <c r="F89">
        <f t="shared" si="1"/>
        <v>0.53285024154589378</v>
      </c>
      <c r="G89">
        <v>1380</v>
      </c>
      <c r="H89">
        <v>644.66666666666663</v>
      </c>
    </row>
    <row r="90" spans="1:8" x14ac:dyDescent="0.25">
      <c r="A90" t="s">
        <v>174</v>
      </c>
      <c r="B90" s="1">
        <v>45356</v>
      </c>
      <c r="C90">
        <v>2024</v>
      </c>
      <c r="D90" s="1">
        <v>45425</v>
      </c>
      <c r="E90">
        <v>70</v>
      </c>
      <c r="F90">
        <f t="shared" si="1"/>
        <v>0.70127025843188784</v>
      </c>
      <c r="G90">
        <v>1522</v>
      </c>
      <c r="H90">
        <v>454.66666666666669</v>
      </c>
    </row>
    <row r="91" spans="1:8" x14ac:dyDescent="0.25">
      <c r="A91" t="s">
        <v>174</v>
      </c>
      <c r="B91" s="1">
        <v>45733</v>
      </c>
      <c r="C91">
        <v>2025</v>
      </c>
      <c r="D91" s="1">
        <v>45793</v>
      </c>
      <c r="E91">
        <v>60</v>
      </c>
      <c r="F91">
        <f t="shared" si="1"/>
        <v>0.46943445570447856</v>
      </c>
      <c r="G91">
        <v>2039.3333333333333</v>
      </c>
      <c r="H91">
        <v>1082</v>
      </c>
    </row>
    <row r="92" spans="1:8" x14ac:dyDescent="0.25">
      <c r="A92" t="s">
        <v>174</v>
      </c>
      <c r="B92" s="1">
        <v>46094</v>
      </c>
      <c r="C92">
        <v>2026</v>
      </c>
      <c r="D92" s="1">
        <v>46160</v>
      </c>
      <c r="E92">
        <v>66</v>
      </c>
      <c r="F92">
        <f t="shared" si="1"/>
        <v>0.51537714470702489</v>
      </c>
      <c r="G92">
        <v>3089</v>
      </c>
      <c r="H92">
        <v>1497</v>
      </c>
    </row>
    <row r="93" spans="1:8" x14ac:dyDescent="0.25">
      <c r="A93" t="s">
        <v>175</v>
      </c>
      <c r="B93" s="1">
        <v>43915</v>
      </c>
      <c r="C93">
        <v>2020</v>
      </c>
      <c r="D93" s="1">
        <v>43998</v>
      </c>
      <c r="E93">
        <v>84</v>
      </c>
      <c r="F93">
        <f t="shared" si="1"/>
        <v>0.52832550860719885</v>
      </c>
      <c r="G93">
        <v>2130</v>
      </c>
      <c r="H93">
        <v>1004.6666666666666</v>
      </c>
    </row>
    <row r="94" spans="1:8" x14ac:dyDescent="0.25">
      <c r="A94" t="s">
        <v>175</v>
      </c>
      <c r="B94" s="1">
        <v>44266</v>
      </c>
      <c r="C94">
        <v>2021</v>
      </c>
      <c r="D94" s="1">
        <v>44356</v>
      </c>
      <c r="E94">
        <v>90</v>
      </c>
      <c r="F94">
        <f t="shared" si="1"/>
        <v>0.31375703942075622</v>
      </c>
      <c r="G94">
        <v>1657.3333333333333</v>
      </c>
      <c r="H94">
        <v>1137.3333333333333</v>
      </c>
    </row>
    <row r="95" spans="1:8" x14ac:dyDescent="0.25">
      <c r="A95" t="s">
        <v>175</v>
      </c>
      <c r="B95" s="1">
        <v>44617</v>
      </c>
      <c r="C95">
        <v>2022</v>
      </c>
      <c r="D95" s="1">
        <v>44686</v>
      </c>
      <c r="E95">
        <v>69</v>
      </c>
      <c r="F95">
        <f t="shared" si="1"/>
        <v>0.43735498839907194</v>
      </c>
      <c r="G95">
        <v>574.66666666666663</v>
      </c>
      <c r="H95">
        <v>323.33333333333331</v>
      </c>
    </row>
    <row r="96" spans="1:8" x14ac:dyDescent="0.25">
      <c r="A96" t="s">
        <v>175</v>
      </c>
      <c r="B96" s="1"/>
      <c r="C96">
        <v>2023</v>
      </c>
      <c r="D96" s="1">
        <v>45097</v>
      </c>
      <c r="F96">
        <f t="shared" si="1"/>
        <v>-0.21825396825396826</v>
      </c>
      <c r="G96">
        <v>2520</v>
      </c>
      <c r="H96">
        <v>3070</v>
      </c>
    </row>
    <row r="97" spans="1:8" x14ac:dyDescent="0.25">
      <c r="A97" t="s">
        <v>175</v>
      </c>
      <c r="B97" s="1">
        <v>45345</v>
      </c>
      <c r="C97">
        <v>2024</v>
      </c>
      <c r="D97" s="1">
        <v>45433</v>
      </c>
      <c r="E97">
        <v>89</v>
      </c>
      <c r="F97">
        <f t="shared" si="1"/>
        <v>0.3405270803071177</v>
      </c>
      <c r="G97">
        <v>3212.6666666666665</v>
      </c>
      <c r="H97">
        <v>2118.6666666666665</v>
      </c>
    </row>
    <row r="98" spans="1:8" x14ac:dyDescent="0.25">
      <c r="A98" t="s">
        <v>175</v>
      </c>
      <c r="B98" s="1">
        <v>45726</v>
      </c>
      <c r="C98">
        <v>2025</v>
      </c>
      <c r="D98" s="1">
        <v>45810</v>
      </c>
      <c r="E98">
        <v>84</v>
      </c>
      <c r="F98">
        <f t="shared" si="1"/>
        <v>0.1540354330708662</v>
      </c>
      <c r="G98">
        <v>5418.666666666667</v>
      </c>
      <c r="H98">
        <v>4584</v>
      </c>
    </row>
    <row r="99" spans="1:8" x14ac:dyDescent="0.25">
      <c r="A99" t="s">
        <v>175</v>
      </c>
      <c r="B99" s="1">
        <v>46091</v>
      </c>
      <c r="C99">
        <v>2026</v>
      </c>
      <c r="D99" s="1">
        <v>46181</v>
      </c>
      <c r="E99">
        <v>90</v>
      </c>
      <c r="F99">
        <f t="shared" si="1"/>
        <v>0.10782608695652174</v>
      </c>
      <c r="G99">
        <v>5750</v>
      </c>
      <c r="H99">
        <v>5130</v>
      </c>
    </row>
    <row r="100" spans="1:8" x14ac:dyDescent="0.25">
      <c r="A100" t="s">
        <v>372</v>
      </c>
      <c r="B100" s="1">
        <v>43918</v>
      </c>
      <c r="C100">
        <v>2020</v>
      </c>
      <c r="D100" s="1">
        <v>43984</v>
      </c>
      <c r="E100">
        <v>89</v>
      </c>
      <c r="F100">
        <f t="shared" si="1"/>
        <v>2.1276595744680753E-2</v>
      </c>
      <c r="G100">
        <v>1535.3333333333333</v>
      </c>
      <c r="H100">
        <v>1502.6666666666667</v>
      </c>
    </row>
    <row r="101" spans="1:8" x14ac:dyDescent="0.25">
      <c r="A101" t="s">
        <v>372</v>
      </c>
      <c r="B101" s="1">
        <v>44254</v>
      </c>
      <c r="C101">
        <v>2021</v>
      </c>
      <c r="D101" s="1">
        <v>44354</v>
      </c>
      <c r="E101">
        <v>100</v>
      </c>
      <c r="F101">
        <f t="shared" si="1"/>
        <v>0.43839030014505148</v>
      </c>
      <c r="G101">
        <v>2688.7</v>
      </c>
      <c r="H101">
        <v>1510</v>
      </c>
    </row>
    <row r="102" spans="1:8" x14ac:dyDescent="0.25">
      <c r="A102" t="s">
        <v>372</v>
      </c>
      <c r="B102" s="1">
        <v>44619</v>
      </c>
      <c r="C102">
        <v>2022</v>
      </c>
      <c r="D102" s="1">
        <v>44726</v>
      </c>
      <c r="E102">
        <v>107</v>
      </c>
      <c r="F102">
        <f t="shared" si="1"/>
        <v>0.59346701164294957</v>
      </c>
      <c r="G102">
        <v>2061.3333333333335</v>
      </c>
      <c r="H102">
        <v>838</v>
      </c>
    </row>
    <row r="103" spans="1:8" x14ac:dyDescent="0.25">
      <c r="A103" t="s">
        <v>372</v>
      </c>
      <c r="B103" s="1"/>
      <c r="C103">
        <v>2023</v>
      </c>
      <c r="D103" s="1">
        <v>45086</v>
      </c>
      <c r="F103">
        <f t="shared" si="1"/>
        <v>-3.9335664335664336E-2</v>
      </c>
      <c r="G103">
        <v>3432</v>
      </c>
      <c r="H103">
        <v>3567</v>
      </c>
    </row>
    <row r="104" spans="1:8" x14ac:dyDescent="0.25">
      <c r="A104" t="s">
        <v>372</v>
      </c>
      <c r="B104" s="1">
        <v>45325</v>
      </c>
      <c r="C104">
        <v>2024</v>
      </c>
      <c r="D104" s="1">
        <v>45447</v>
      </c>
      <c r="E104">
        <v>123</v>
      </c>
      <c r="F104">
        <f t="shared" si="1"/>
        <v>0.48396808682192027</v>
      </c>
      <c r="G104">
        <v>4428.6666670000004</v>
      </c>
      <c r="H104">
        <v>2285.333333</v>
      </c>
    </row>
    <row r="105" spans="1:8" x14ac:dyDescent="0.25">
      <c r="A105" t="s">
        <v>372</v>
      </c>
      <c r="B105" s="1">
        <v>45708</v>
      </c>
      <c r="C105">
        <v>2025</v>
      </c>
      <c r="D105" s="1">
        <v>45810</v>
      </c>
      <c r="E105">
        <v>102</v>
      </c>
      <c r="F105">
        <f t="shared" si="1"/>
        <v>0.1426992896606156</v>
      </c>
      <c r="G105">
        <v>4223.333333333333</v>
      </c>
      <c r="H105">
        <v>3620.6666666666665</v>
      </c>
    </row>
    <row r="106" spans="1:8" x14ac:dyDescent="0.25">
      <c r="A106" t="s">
        <v>372</v>
      </c>
      <c r="B106" s="1">
        <v>46083</v>
      </c>
      <c r="C106">
        <v>2026</v>
      </c>
      <c r="D106" s="1">
        <v>46184</v>
      </c>
      <c r="E106">
        <v>101</v>
      </c>
      <c r="F106">
        <f t="shared" si="1"/>
        <v>0.20287331301697867</v>
      </c>
      <c r="G106">
        <v>4594</v>
      </c>
      <c r="H106">
        <v>3662</v>
      </c>
    </row>
    <row r="107" spans="1:8" x14ac:dyDescent="0.25">
      <c r="A107" t="s">
        <v>176</v>
      </c>
      <c r="B107" s="1">
        <v>43922</v>
      </c>
      <c r="C107">
        <v>2020</v>
      </c>
      <c r="D107" s="1">
        <v>43991</v>
      </c>
      <c r="E107">
        <v>69</v>
      </c>
      <c r="F107">
        <f t="shared" si="1"/>
        <v>-1.4485755673587638E-2</v>
      </c>
      <c r="G107">
        <v>1380.6666666666667</v>
      </c>
      <c r="H107">
        <v>1400.6666666666667</v>
      </c>
    </row>
    <row r="108" spans="1:8" x14ac:dyDescent="0.25">
      <c r="A108" t="s">
        <v>176</v>
      </c>
      <c r="B108" s="1">
        <v>44252</v>
      </c>
      <c r="C108">
        <v>2021</v>
      </c>
      <c r="D108" s="1">
        <v>44349</v>
      </c>
      <c r="E108">
        <v>117</v>
      </c>
      <c r="F108">
        <f t="shared" si="1"/>
        <v>0.31760274731361476</v>
      </c>
      <c r="G108">
        <v>902.7</v>
      </c>
      <c r="H108">
        <v>616</v>
      </c>
    </row>
    <row r="109" spans="1:8" x14ac:dyDescent="0.25">
      <c r="A109" t="s">
        <v>176</v>
      </c>
      <c r="B109" s="1">
        <v>44659</v>
      </c>
      <c r="C109">
        <v>2022</v>
      </c>
      <c r="D109" s="1">
        <v>44720</v>
      </c>
      <c r="E109">
        <v>61</v>
      </c>
      <c r="F109">
        <f t="shared" si="1"/>
        <v>0.28453708191953464</v>
      </c>
      <c r="G109">
        <v>1375.3333333333333</v>
      </c>
      <c r="H109">
        <v>984</v>
      </c>
    </row>
    <row r="110" spans="1:8" x14ac:dyDescent="0.25">
      <c r="A110" t="s">
        <v>176</v>
      </c>
      <c r="B110" s="1"/>
      <c r="C110">
        <v>2023</v>
      </c>
      <c r="D110" s="1">
        <v>45084</v>
      </c>
      <c r="F110">
        <f t="shared" si="1"/>
        <v>0.38643067846607676</v>
      </c>
      <c r="G110">
        <v>2260.0000000000005</v>
      </c>
      <c r="H110">
        <v>1386.6666666666667</v>
      </c>
    </row>
    <row r="111" spans="1:8" x14ac:dyDescent="0.25">
      <c r="A111" t="s">
        <v>176</v>
      </c>
      <c r="B111" s="1">
        <v>45355</v>
      </c>
      <c r="C111">
        <v>2024</v>
      </c>
      <c r="D111" s="1">
        <v>45441</v>
      </c>
      <c r="E111">
        <v>87</v>
      </c>
      <c r="F111">
        <f t="shared" si="1"/>
        <v>0.46213093709884467</v>
      </c>
      <c r="G111">
        <v>1558</v>
      </c>
      <c r="H111">
        <v>838</v>
      </c>
    </row>
    <row r="112" spans="1:8" x14ac:dyDescent="0.25">
      <c r="A112" t="s">
        <v>176</v>
      </c>
      <c r="B112" s="1">
        <v>45749</v>
      </c>
      <c r="C112">
        <v>2025</v>
      </c>
      <c r="D112" s="1">
        <v>45813</v>
      </c>
      <c r="E112">
        <v>64</v>
      </c>
      <c r="F112">
        <f t="shared" si="1"/>
        <v>0.16798231765077362</v>
      </c>
      <c r="G112">
        <v>2111.3333333333335</v>
      </c>
      <c r="H112">
        <v>1756.6666666666667</v>
      </c>
    </row>
    <row r="113" spans="1:8" x14ac:dyDescent="0.25">
      <c r="A113" t="s">
        <v>176</v>
      </c>
      <c r="B113" s="1">
        <v>46101</v>
      </c>
      <c r="C113">
        <v>2026</v>
      </c>
      <c r="D113" s="1">
        <v>46184</v>
      </c>
      <c r="E113">
        <v>83</v>
      </c>
      <c r="F113">
        <f t="shared" si="1"/>
        <v>0.66205342774380427</v>
      </c>
      <c r="G113">
        <v>3107</v>
      </c>
      <c r="H113">
        <v>1050</v>
      </c>
    </row>
    <row r="114" spans="1:8" x14ac:dyDescent="0.25">
      <c r="A114" t="s">
        <v>178</v>
      </c>
      <c r="B114" s="1">
        <v>43922</v>
      </c>
      <c r="C114">
        <v>2020</v>
      </c>
      <c r="D114" s="1">
        <v>44014</v>
      </c>
      <c r="E114">
        <v>93</v>
      </c>
      <c r="F114">
        <f t="shared" si="1"/>
        <v>4.8391058707934226E-2</v>
      </c>
      <c r="G114">
        <v>2714</v>
      </c>
      <c r="H114">
        <v>2582.6666666666665</v>
      </c>
    </row>
    <row r="115" spans="1:8" x14ac:dyDescent="0.25">
      <c r="A115" t="s">
        <v>178</v>
      </c>
      <c r="B115" s="1"/>
      <c r="C115">
        <v>2021</v>
      </c>
      <c r="D115" s="1">
        <v>44369</v>
      </c>
      <c r="F115">
        <f t="shared" si="1"/>
        <v>0.449185741574125</v>
      </c>
      <c r="G115">
        <v>3088.7</v>
      </c>
      <c r="H115">
        <v>1701.3</v>
      </c>
    </row>
    <row r="116" spans="1:8" x14ac:dyDescent="0.25">
      <c r="A116" t="s">
        <v>178</v>
      </c>
      <c r="B116" s="1">
        <v>44635</v>
      </c>
      <c r="C116">
        <v>2022</v>
      </c>
      <c r="D116" s="1">
        <v>44732</v>
      </c>
      <c r="E116">
        <v>97</v>
      </c>
      <c r="F116">
        <f t="shared" si="1"/>
        <v>-8.800880088008807E-2</v>
      </c>
      <c r="G116">
        <v>606</v>
      </c>
      <c r="H116">
        <v>659.33333333333337</v>
      </c>
    </row>
    <row r="117" spans="1:8" x14ac:dyDescent="0.25">
      <c r="A117" t="s">
        <v>178</v>
      </c>
      <c r="B117" s="1"/>
      <c r="C117">
        <v>2023</v>
      </c>
      <c r="D117" s="1">
        <v>45084</v>
      </c>
      <c r="F117">
        <f t="shared" si="1"/>
        <v>5.7291666666666782E-2</v>
      </c>
      <c r="G117">
        <v>3840</v>
      </c>
      <c r="H117">
        <v>3619.9999999999995</v>
      </c>
    </row>
    <row r="118" spans="1:8" x14ac:dyDescent="0.25">
      <c r="A118" t="s">
        <v>178</v>
      </c>
      <c r="B118" s="1">
        <v>45355</v>
      </c>
      <c r="C118">
        <v>2024</v>
      </c>
      <c r="D118" s="1">
        <v>45441</v>
      </c>
      <c r="E118">
        <v>87</v>
      </c>
      <c r="F118">
        <f t="shared" si="1"/>
        <v>0.24674196350999131</v>
      </c>
      <c r="G118">
        <v>2302</v>
      </c>
      <c r="H118">
        <v>1734</v>
      </c>
    </row>
    <row r="119" spans="1:8" x14ac:dyDescent="0.25">
      <c r="A119" t="s">
        <v>178</v>
      </c>
      <c r="B119" s="1">
        <v>45736</v>
      </c>
      <c r="C119">
        <v>2025</v>
      </c>
      <c r="D119" s="1">
        <v>45813</v>
      </c>
      <c r="E119">
        <v>77</v>
      </c>
      <c r="F119">
        <f t="shared" si="1"/>
        <v>0.33697632058287796</v>
      </c>
      <c r="G119">
        <v>3294</v>
      </c>
      <c r="H119">
        <v>2184</v>
      </c>
    </row>
    <row r="120" spans="1:8" x14ac:dyDescent="0.25">
      <c r="A120" t="s">
        <v>178</v>
      </c>
      <c r="B120" s="1">
        <v>46093</v>
      </c>
      <c r="C120">
        <v>2026</v>
      </c>
      <c r="D120" s="1">
        <v>46174</v>
      </c>
      <c r="E120">
        <v>81</v>
      </c>
      <c r="F120">
        <f t="shared" si="1"/>
        <v>0.39271882261812546</v>
      </c>
      <c r="G120">
        <v>3873</v>
      </c>
      <c r="H120">
        <v>2352</v>
      </c>
    </row>
    <row r="121" spans="1:8" x14ac:dyDescent="0.25">
      <c r="A121" t="s">
        <v>376</v>
      </c>
      <c r="B121" s="1">
        <v>43966</v>
      </c>
      <c r="C121">
        <v>2020</v>
      </c>
      <c r="D121" s="1">
        <v>44011</v>
      </c>
      <c r="E121">
        <v>46</v>
      </c>
      <c r="F121">
        <f t="shared" si="1"/>
        <v>0.19141160347190495</v>
      </c>
      <c r="G121">
        <v>1459.3333333333333</v>
      </c>
      <c r="H121">
        <v>1180</v>
      </c>
    </row>
    <row r="122" spans="1:8" x14ac:dyDescent="0.25">
      <c r="A122" t="s">
        <v>376</v>
      </c>
      <c r="B122" s="1">
        <v>44261</v>
      </c>
      <c r="C122">
        <v>2021</v>
      </c>
      <c r="D122" s="1">
        <v>44363</v>
      </c>
      <c r="E122">
        <v>101</v>
      </c>
      <c r="F122">
        <f t="shared" si="1"/>
        <v>0.14937163375224424</v>
      </c>
      <c r="G122">
        <v>1856.6666666666667</v>
      </c>
      <c r="H122">
        <v>1579.3333333333333</v>
      </c>
    </row>
    <row r="123" spans="1:8" x14ac:dyDescent="0.25">
      <c r="A123" t="s">
        <v>376</v>
      </c>
      <c r="B123" s="1">
        <v>44614</v>
      </c>
      <c r="C123">
        <v>2022</v>
      </c>
      <c r="D123" s="1">
        <v>44684</v>
      </c>
      <c r="E123">
        <v>70</v>
      </c>
      <c r="F123">
        <f t="shared" si="1"/>
        <v>0.33836477987421382</v>
      </c>
      <c r="G123">
        <v>530</v>
      </c>
      <c r="H123">
        <v>350.66666666666669</v>
      </c>
    </row>
    <row r="124" spans="1:8" x14ac:dyDescent="0.25">
      <c r="A124" t="s">
        <v>376</v>
      </c>
      <c r="B124" s="1"/>
      <c r="C124">
        <v>2023</v>
      </c>
      <c r="D124" s="1">
        <v>45078</v>
      </c>
      <c r="F124">
        <f t="shared" si="1"/>
        <v>0.27542372881355931</v>
      </c>
      <c r="G124">
        <v>1573.3333333333333</v>
      </c>
      <c r="H124">
        <v>1140</v>
      </c>
    </row>
    <row r="125" spans="1:8" x14ac:dyDescent="0.25">
      <c r="A125" t="s">
        <v>376</v>
      </c>
      <c r="B125" s="1">
        <v>45337</v>
      </c>
      <c r="C125">
        <v>2024</v>
      </c>
      <c r="D125" s="1">
        <v>45434</v>
      </c>
      <c r="E125">
        <v>98</v>
      </c>
      <c r="F125">
        <f t="shared" si="1"/>
        <v>0.34851811173827091</v>
      </c>
      <c r="G125">
        <v>2429.333333</v>
      </c>
      <c r="H125">
        <v>1582.666667</v>
      </c>
    </row>
    <row r="126" spans="1:8" x14ac:dyDescent="0.25">
      <c r="A126" t="s">
        <v>376</v>
      </c>
      <c r="B126" s="1">
        <v>45715</v>
      </c>
      <c r="C126">
        <v>2025</v>
      </c>
      <c r="D126" s="1">
        <v>45805</v>
      </c>
      <c r="E126">
        <v>90</v>
      </c>
      <c r="F126">
        <f t="shared" si="1"/>
        <v>0.46484834234657896</v>
      </c>
      <c r="G126">
        <v>2835.3333333333335</v>
      </c>
      <c r="H126">
        <v>1517.3333333333333</v>
      </c>
    </row>
    <row r="127" spans="1:8" x14ac:dyDescent="0.25">
      <c r="A127" t="s">
        <v>376</v>
      </c>
      <c r="B127" s="1">
        <v>46073</v>
      </c>
      <c r="C127">
        <v>2026</v>
      </c>
      <c r="D127" s="1">
        <v>46181</v>
      </c>
      <c r="E127">
        <v>108</v>
      </c>
      <c r="F127">
        <f t="shared" si="1"/>
        <v>0.27795527156549521</v>
      </c>
      <c r="G127">
        <v>3756</v>
      </c>
      <c r="H127">
        <v>2712</v>
      </c>
    </row>
    <row r="128" spans="1:8" x14ac:dyDescent="0.25">
      <c r="A128" s="3" t="s">
        <v>183</v>
      </c>
      <c r="B128" s="1">
        <v>43915</v>
      </c>
      <c r="C128">
        <v>2020</v>
      </c>
      <c r="D128" s="1">
        <v>43991</v>
      </c>
      <c r="E128">
        <v>77</v>
      </c>
      <c r="F128">
        <f t="shared" ref="F128:F191" si="2">(G128-H128)/G128</f>
        <v>0.13676092544987156</v>
      </c>
      <c r="G128">
        <v>1296.6666666666667</v>
      </c>
      <c r="H128">
        <v>1119.3333333333333</v>
      </c>
    </row>
    <row r="129" spans="1:8" x14ac:dyDescent="0.25">
      <c r="A129" s="3" t="s">
        <v>183</v>
      </c>
      <c r="B129" s="1">
        <v>44280</v>
      </c>
      <c r="C129">
        <v>2021</v>
      </c>
      <c r="D129" s="1">
        <v>44344</v>
      </c>
      <c r="E129">
        <v>64</v>
      </c>
      <c r="F129">
        <f t="shared" si="2"/>
        <v>0.20391292367043262</v>
      </c>
      <c r="G129">
        <v>1088.7</v>
      </c>
      <c r="H129">
        <v>866.7</v>
      </c>
    </row>
    <row r="130" spans="1:8" x14ac:dyDescent="0.25">
      <c r="A130" s="3" t="s">
        <v>183</v>
      </c>
      <c r="B130" s="1">
        <v>44653</v>
      </c>
      <c r="C130">
        <v>2022</v>
      </c>
      <c r="D130" s="1">
        <v>44719</v>
      </c>
      <c r="E130">
        <v>67</v>
      </c>
      <c r="F130">
        <f t="shared" si="2"/>
        <v>0.56322730799069054</v>
      </c>
      <c r="G130">
        <v>859.33333333333337</v>
      </c>
      <c r="H130">
        <v>375.33333333333331</v>
      </c>
    </row>
    <row r="131" spans="1:8" x14ac:dyDescent="0.25">
      <c r="A131" s="3" t="s">
        <v>183</v>
      </c>
      <c r="B131" s="1"/>
      <c r="C131">
        <v>2023</v>
      </c>
      <c r="D131" s="1">
        <v>45078</v>
      </c>
      <c r="F131">
        <f t="shared" si="2"/>
        <v>0.52093636663369602</v>
      </c>
      <c r="G131">
        <v>3033</v>
      </c>
      <c r="H131">
        <v>1453</v>
      </c>
    </row>
    <row r="132" spans="1:8" x14ac:dyDescent="0.25">
      <c r="A132" s="3" t="s">
        <v>183</v>
      </c>
      <c r="B132" s="1">
        <v>45368</v>
      </c>
      <c r="C132">
        <v>2024</v>
      </c>
      <c r="D132" s="1">
        <v>45443</v>
      </c>
      <c r="E132">
        <v>76</v>
      </c>
      <c r="F132">
        <f t="shared" si="2"/>
        <v>0.46537313424856314</v>
      </c>
      <c r="G132">
        <v>2233.333333</v>
      </c>
      <c r="H132">
        <v>1194</v>
      </c>
    </row>
    <row r="133" spans="1:8" x14ac:dyDescent="0.25">
      <c r="A133" s="3" t="s">
        <v>184</v>
      </c>
      <c r="B133" s="1">
        <v>45762</v>
      </c>
      <c r="C133">
        <v>2025</v>
      </c>
      <c r="D133" s="1">
        <v>45832</v>
      </c>
      <c r="E133">
        <v>70</v>
      </c>
      <c r="F133">
        <f t="shared" si="2"/>
        <v>8.6529318541996927E-2</v>
      </c>
      <c r="G133">
        <v>2103.3333333333335</v>
      </c>
      <c r="H133">
        <v>1921.3333333333333</v>
      </c>
    </row>
    <row r="134" spans="1:8" x14ac:dyDescent="0.25">
      <c r="A134" t="s">
        <v>297</v>
      </c>
      <c r="B134" s="1">
        <v>46093</v>
      </c>
      <c r="C134">
        <v>2026</v>
      </c>
      <c r="D134" s="1">
        <v>46174</v>
      </c>
      <c r="E134">
        <v>81</v>
      </c>
      <c r="F134">
        <f t="shared" si="2"/>
        <v>0.12757454657239473</v>
      </c>
      <c r="G134">
        <v>3253</v>
      </c>
      <c r="H134">
        <v>2838</v>
      </c>
    </row>
    <row r="135" spans="1:8" x14ac:dyDescent="0.25">
      <c r="A135" t="s">
        <v>186</v>
      </c>
      <c r="B135" s="1">
        <v>43915</v>
      </c>
      <c r="C135">
        <v>2020</v>
      </c>
      <c r="D135" s="1">
        <v>43991</v>
      </c>
      <c r="E135">
        <v>77</v>
      </c>
      <c r="F135">
        <f t="shared" si="2"/>
        <v>0.36747211895910781</v>
      </c>
      <c r="G135">
        <v>3586.6666666666665</v>
      </c>
      <c r="H135">
        <v>2268.6666666666665</v>
      </c>
    </row>
    <row r="136" spans="1:8" x14ac:dyDescent="0.25">
      <c r="A136" t="s">
        <v>186</v>
      </c>
      <c r="B136" s="1">
        <v>44281</v>
      </c>
      <c r="C136">
        <v>2021</v>
      </c>
      <c r="D136" s="1">
        <v>44344</v>
      </c>
      <c r="E136">
        <v>64</v>
      </c>
      <c r="F136">
        <f t="shared" si="2"/>
        <v>0.48029427220178667</v>
      </c>
      <c r="G136">
        <v>1268.6666666666667</v>
      </c>
      <c r="H136">
        <v>659.33333333333337</v>
      </c>
    </row>
    <row r="137" spans="1:8" x14ac:dyDescent="0.25">
      <c r="A137" t="s">
        <v>186</v>
      </c>
      <c r="B137" s="1">
        <v>44653</v>
      </c>
      <c r="C137">
        <v>2022</v>
      </c>
      <c r="D137" s="1">
        <v>44719</v>
      </c>
      <c r="E137">
        <v>67</v>
      </c>
      <c r="F137">
        <f t="shared" si="2"/>
        <v>0.35216819973718783</v>
      </c>
      <c r="G137">
        <v>507.33333333333331</v>
      </c>
      <c r="H137">
        <v>328.66666666666669</v>
      </c>
    </row>
    <row r="138" spans="1:8" x14ac:dyDescent="0.25">
      <c r="A138" t="s">
        <v>186</v>
      </c>
      <c r="B138" s="1"/>
      <c r="C138">
        <v>2023</v>
      </c>
      <c r="D138" s="1">
        <v>45078</v>
      </c>
      <c r="F138">
        <f t="shared" si="2"/>
        <v>0.33729216152019004</v>
      </c>
      <c r="G138">
        <v>2947</v>
      </c>
      <c r="H138">
        <v>1953</v>
      </c>
    </row>
    <row r="139" spans="1:8" x14ac:dyDescent="0.25">
      <c r="A139" t="s">
        <v>186</v>
      </c>
      <c r="B139" s="1">
        <v>45741</v>
      </c>
      <c r="C139">
        <v>2025</v>
      </c>
      <c r="D139" s="1">
        <v>45810</v>
      </c>
      <c r="E139">
        <v>69</v>
      </c>
      <c r="F139">
        <f t="shared" si="2"/>
        <v>0.14423830676770316</v>
      </c>
      <c r="G139">
        <v>2551.3333333333335</v>
      </c>
      <c r="H139">
        <v>2183.3333333333335</v>
      </c>
    </row>
    <row r="140" spans="1:8" x14ac:dyDescent="0.25">
      <c r="A140" t="s">
        <v>186</v>
      </c>
      <c r="B140" s="1">
        <v>46081</v>
      </c>
      <c r="C140">
        <v>2026</v>
      </c>
      <c r="D140" s="1">
        <v>46174</v>
      </c>
      <c r="E140">
        <v>93</v>
      </c>
      <c r="F140">
        <f t="shared" si="2"/>
        <v>0.45390070921985815</v>
      </c>
      <c r="G140">
        <v>2256</v>
      </c>
      <c r="H140">
        <v>1232</v>
      </c>
    </row>
    <row r="141" spans="1:8" x14ac:dyDescent="0.25">
      <c r="A141" t="s">
        <v>187</v>
      </c>
      <c r="B141" s="1">
        <v>43922</v>
      </c>
      <c r="C141">
        <v>2020</v>
      </c>
      <c r="D141" s="1">
        <v>44006</v>
      </c>
      <c r="E141">
        <v>84</v>
      </c>
      <c r="F141">
        <f t="shared" si="2"/>
        <v>0.25466259749067482</v>
      </c>
      <c r="G141">
        <v>1966</v>
      </c>
      <c r="H141">
        <v>1465.3333333333333</v>
      </c>
    </row>
    <row r="142" spans="1:8" x14ac:dyDescent="0.25">
      <c r="A142" t="s">
        <v>187</v>
      </c>
      <c r="B142" s="1"/>
      <c r="C142">
        <v>2021</v>
      </c>
      <c r="D142" s="1">
        <v>44382</v>
      </c>
      <c r="F142">
        <f t="shared" si="2"/>
        <v>0.47190598604480355</v>
      </c>
      <c r="G142">
        <v>1815.3333333333333</v>
      </c>
      <c r="H142">
        <v>958.66666666666663</v>
      </c>
    </row>
    <row r="143" spans="1:8" x14ac:dyDescent="0.25">
      <c r="A143" t="s">
        <v>187</v>
      </c>
      <c r="B143" s="1">
        <v>44621</v>
      </c>
      <c r="C143">
        <v>2022</v>
      </c>
      <c r="D143" s="1">
        <v>44691</v>
      </c>
      <c r="E143">
        <v>71</v>
      </c>
      <c r="F143">
        <f t="shared" si="2"/>
        <v>0.55651052857756766</v>
      </c>
      <c r="G143">
        <v>1551.3333333333333</v>
      </c>
      <c r="H143">
        <v>688</v>
      </c>
    </row>
    <row r="144" spans="1:8" x14ac:dyDescent="0.25">
      <c r="A144" t="s">
        <v>187</v>
      </c>
      <c r="B144" s="1"/>
      <c r="C144">
        <v>2023</v>
      </c>
      <c r="D144" s="1">
        <v>45096</v>
      </c>
      <c r="F144">
        <f t="shared" si="2"/>
        <v>0.30550979315394478</v>
      </c>
      <c r="G144">
        <v>3642</v>
      </c>
      <c r="H144">
        <v>2529.333333333333</v>
      </c>
    </row>
    <row r="145" spans="1:8" x14ac:dyDescent="0.25">
      <c r="A145" t="s">
        <v>187</v>
      </c>
      <c r="B145" s="1">
        <v>45349</v>
      </c>
      <c r="C145">
        <v>2024</v>
      </c>
      <c r="D145" s="1">
        <v>45442</v>
      </c>
      <c r="E145">
        <v>94</v>
      </c>
      <c r="F145">
        <f t="shared" si="2"/>
        <v>0.50380067567567566</v>
      </c>
      <c r="G145">
        <v>4736</v>
      </c>
      <c r="H145">
        <v>2350</v>
      </c>
    </row>
    <row r="146" spans="1:8" x14ac:dyDescent="0.25">
      <c r="A146" t="s">
        <v>188</v>
      </c>
      <c r="B146" s="1">
        <v>44325</v>
      </c>
      <c r="C146">
        <v>2021</v>
      </c>
      <c r="D146" s="1">
        <v>44371</v>
      </c>
      <c r="E146">
        <v>46</v>
      </c>
      <c r="F146">
        <f t="shared" si="2"/>
        <v>0.17376263162686259</v>
      </c>
      <c r="G146">
        <v>3295.3</v>
      </c>
      <c r="H146">
        <v>2722.7</v>
      </c>
    </row>
    <row r="147" spans="1:8" x14ac:dyDescent="0.25">
      <c r="A147" t="s">
        <v>188</v>
      </c>
      <c r="B147" s="1">
        <v>44635</v>
      </c>
      <c r="C147">
        <v>2022</v>
      </c>
      <c r="D147" s="1">
        <v>44720</v>
      </c>
      <c r="E147">
        <v>85</v>
      </c>
      <c r="F147">
        <f t="shared" si="2"/>
        <v>0.25114620478858896</v>
      </c>
      <c r="G147">
        <v>1308.6666666666667</v>
      </c>
      <c r="H147">
        <v>980</v>
      </c>
    </row>
    <row r="148" spans="1:8" x14ac:dyDescent="0.25">
      <c r="A148" t="s">
        <v>188</v>
      </c>
      <c r="B148" s="1"/>
      <c r="C148">
        <v>2023</v>
      </c>
      <c r="D148" s="1">
        <v>45127</v>
      </c>
      <c r="F148">
        <f t="shared" si="2"/>
        <v>0.14399999999999999</v>
      </c>
      <c r="G148">
        <v>1166.6666666666667</v>
      </c>
      <c r="H148">
        <v>998.66666666666674</v>
      </c>
    </row>
    <row r="149" spans="1:8" x14ac:dyDescent="0.25">
      <c r="A149" t="s">
        <v>189</v>
      </c>
      <c r="B149" s="1">
        <v>43971</v>
      </c>
      <c r="C149">
        <v>2020</v>
      </c>
      <c r="D149" s="1">
        <v>44013</v>
      </c>
      <c r="E149">
        <v>42</v>
      </c>
      <c r="F149">
        <f t="shared" si="2"/>
        <v>0</v>
      </c>
      <c r="G149">
        <v>1740.6666666666667</v>
      </c>
      <c r="H149">
        <v>1740.6666666666667</v>
      </c>
    </row>
    <row r="150" spans="1:8" x14ac:dyDescent="0.25">
      <c r="A150" t="s">
        <v>189</v>
      </c>
      <c r="B150" s="1">
        <v>44625</v>
      </c>
      <c r="C150">
        <v>2022</v>
      </c>
      <c r="D150" s="1">
        <v>44726</v>
      </c>
      <c r="E150">
        <v>100</v>
      </c>
      <c r="F150">
        <f t="shared" si="2"/>
        <v>0.19518716577540107</v>
      </c>
      <c r="G150">
        <v>748</v>
      </c>
      <c r="H150">
        <v>602</v>
      </c>
    </row>
    <row r="151" spans="1:8" x14ac:dyDescent="0.25">
      <c r="A151" t="s">
        <v>189</v>
      </c>
      <c r="B151" s="1"/>
      <c r="C151">
        <v>2023</v>
      </c>
      <c r="D151" s="1">
        <v>45085</v>
      </c>
      <c r="F151">
        <f t="shared" si="2"/>
        <v>0.14629948364888123</v>
      </c>
      <c r="G151">
        <v>2905</v>
      </c>
      <c r="H151">
        <v>2480</v>
      </c>
    </row>
    <row r="152" spans="1:8" x14ac:dyDescent="0.25">
      <c r="A152" t="s">
        <v>189</v>
      </c>
      <c r="B152" s="1">
        <v>45355</v>
      </c>
      <c r="C152">
        <v>2024</v>
      </c>
      <c r="D152" s="1">
        <v>45447</v>
      </c>
      <c r="E152">
        <v>93</v>
      </c>
      <c r="F152">
        <f t="shared" si="2"/>
        <v>0.35838421813546451</v>
      </c>
      <c r="G152">
        <v>2838.666667</v>
      </c>
      <c r="H152">
        <v>1821.333333</v>
      </c>
    </row>
    <row r="153" spans="1:8" x14ac:dyDescent="0.25">
      <c r="A153" t="s">
        <v>189</v>
      </c>
      <c r="B153" s="1">
        <v>45728</v>
      </c>
      <c r="C153">
        <v>2025</v>
      </c>
      <c r="D153" s="1">
        <v>45810</v>
      </c>
      <c r="E153">
        <v>82</v>
      </c>
      <c r="F153">
        <f t="shared" si="2"/>
        <v>0.32334437086092715</v>
      </c>
      <c r="G153">
        <v>4026.6666666666665</v>
      </c>
      <c r="H153">
        <v>2724.6666666666665</v>
      </c>
    </row>
    <row r="154" spans="1:8" x14ac:dyDescent="0.25">
      <c r="A154" t="s">
        <v>189</v>
      </c>
      <c r="B154" s="1">
        <v>46120</v>
      </c>
      <c r="C154">
        <v>2026</v>
      </c>
      <c r="D154" s="1">
        <v>46181</v>
      </c>
      <c r="E154">
        <v>61</v>
      </c>
      <c r="F154">
        <f t="shared" si="2"/>
        <v>0.16026835631755498</v>
      </c>
      <c r="G154">
        <v>2683</v>
      </c>
      <c r="H154">
        <v>2253</v>
      </c>
    </row>
    <row r="155" spans="1:8" x14ac:dyDescent="0.25">
      <c r="A155" t="s">
        <v>190</v>
      </c>
      <c r="B155" s="1"/>
      <c r="C155">
        <v>2023</v>
      </c>
      <c r="D155" s="1">
        <v>45085</v>
      </c>
      <c r="F155">
        <f t="shared" si="2"/>
        <v>0.11338997949018459</v>
      </c>
      <c r="G155">
        <v>3413</v>
      </c>
      <c r="H155">
        <v>3026</v>
      </c>
    </row>
    <row r="156" spans="1:8" x14ac:dyDescent="0.25">
      <c r="A156" t="s">
        <v>190</v>
      </c>
      <c r="B156" s="1">
        <v>45355</v>
      </c>
      <c r="C156">
        <v>2024</v>
      </c>
      <c r="D156" s="1">
        <v>45447</v>
      </c>
      <c r="E156">
        <v>93</v>
      </c>
      <c r="F156">
        <f t="shared" si="2"/>
        <v>4.3313069908814589E-2</v>
      </c>
      <c r="G156">
        <v>2632</v>
      </c>
      <c r="H156">
        <v>2518</v>
      </c>
    </row>
    <row r="157" spans="1:8" ht="13.5" customHeight="1" x14ac:dyDescent="0.25">
      <c r="A157" t="s">
        <v>190</v>
      </c>
      <c r="B157" s="1">
        <v>45728</v>
      </c>
      <c r="C157">
        <v>2025</v>
      </c>
      <c r="D157" s="1">
        <v>45810</v>
      </c>
      <c r="E157">
        <v>82</v>
      </c>
      <c r="F157">
        <f t="shared" si="2"/>
        <v>0.33659217877094966</v>
      </c>
      <c r="G157">
        <v>3818.6666666666665</v>
      </c>
      <c r="H157">
        <v>2533.3333333333335</v>
      </c>
    </row>
    <row r="158" spans="1:8" ht="13.5" customHeight="1" x14ac:dyDescent="0.25">
      <c r="A158" t="s">
        <v>190</v>
      </c>
      <c r="B158" s="1">
        <v>46101</v>
      </c>
      <c r="C158">
        <v>2026</v>
      </c>
      <c r="D158" s="1">
        <v>46181</v>
      </c>
      <c r="E158">
        <v>80</v>
      </c>
      <c r="F158">
        <f t="shared" si="2"/>
        <v>0.22645559431177892</v>
      </c>
      <c r="G158">
        <v>3727</v>
      </c>
      <c r="H158">
        <v>2883</v>
      </c>
    </row>
    <row r="159" spans="1:8" x14ac:dyDescent="0.25">
      <c r="A159" t="s">
        <v>194</v>
      </c>
      <c r="B159" s="1">
        <v>43961</v>
      </c>
      <c r="C159">
        <v>2020</v>
      </c>
      <c r="D159" s="1">
        <v>43990</v>
      </c>
      <c r="E159">
        <v>30</v>
      </c>
      <c r="F159">
        <f t="shared" si="2"/>
        <v>3.9189189189189129E-2</v>
      </c>
      <c r="G159">
        <v>2466.6666666666665</v>
      </c>
      <c r="H159">
        <v>2370</v>
      </c>
    </row>
    <row r="160" spans="1:8" x14ac:dyDescent="0.25">
      <c r="A160" t="s">
        <v>194</v>
      </c>
      <c r="B160" s="1">
        <v>44287</v>
      </c>
      <c r="C160">
        <v>2021</v>
      </c>
      <c r="D160" s="1">
        <v>44362</v>
      </c>
      <c r="E160">
        <v>75</v>
      </c>
      <c r="F160">
        <f t="shared" si="2"/>
        <v>-0.35619646268564725</v>
      </c>
      <c r="G160">
        <v>1622.7</v>
      </c>
      <c r="H160">
        <v>2200.6999999999998</v>
      </c>
    </row>
    <row r="161" spans="1:8" x14ac:dyDescent="0.25">
      <c r="A161" t="s">
        <v>193</v>
      </c>
      <c r="B161" s="1" t="s">
        <v>48</v>
      </c>
      <c r="C161">
        <v>2022</v>
      </c>
      <c r="D161" s="1">
        <v>44719</v>
      </c>
      <c r="E161">
        <v>100</v>
      </c>
      <c r="F161">
        <f t="shared" si="2"/>
        <v>-6.1705989110707855E-2</v>
      </c>
      <c r="G161">
        <v>1469.3333333333333</v>
      </c>
      <c r="H161">
        <v>1560</v>
      </c>
    </row>
    <row r="162" spans="1:8" x14ac:dyDescent="0.25">
      <c r="A162" t="s">
        <v>193</v>
      </c>
      <c r="B162" s="1"/>
      <c r="C162">
        <v>2023</v>
      </c>
      <c r="D162" s="1">
        <v>45096</v>
      </c>
      <c r="F162">
        <f t="shared" si="2"/>
        <v>0.25870646766169147</v>
      </c>
      <c r="G162">
        <v>4019.9999999999995</v>
      </c>
      <c r="H162">
        <v>2980</v>
      </c>
    </row>
    <row r="163" spans="1:8" x14ac:dyDescent="0.25">
      <c r="A163" t="s">
        <v>193</v>
      </c>
      <c r="B163" s="1">
        <v>45384</v>
      </c>
      <c r="C163">
        <v>2024</v>
      </c>
      <c r="D163" s="1">
        <v>45471</v>
      </c>
      <c r="E163">
        <v>88</v>
      </c>
      <c r="F163">
        <f t="shared" si="2"/>
        <v>3.6024527337761882E-2</v>
      </c>
      <c r="G163">
        <v>2609.3333333333335</v>
      </c>
      <c r="H163">
        <v>2515.3333333333335</v>
      </c>
    </row>
    <row r="164" spans="1:8" x14ac:dyDescent="0.25">
      <c r="A164" t="s">
        <v>199</v>
      </c>
      <c r="B164" s="1">
        <v>45370</v>
      </c>
      <c r="C164">
        <v>2024</v>
      </c>
      <c r="D164" s="1">
        <v>45439</v>
      </c>
      <c r="E164">
        <v>70</v>
      </c>
      <c r="F164">
        <f t="shared" si="2"/>
        <v>-0.40501600853788688</v>
      </c>
      <c r="G164">
        <v>1249.3333333333333</v>
      </c>
      <c r="H164">
        <v>1755.3333333333333</v>
      </c>
    </row>
    <row r="165" spans="1:8" x14ac:dyDescent="0.25">
      <c r="A165" t="s">
        <v>199</v>
      </c>
      <c r="B165" s="1">
        <v>45752</v>
      </c>
      <c r="C165">
        <v>2025</v>
      </c>
      <c r="D165" s="1">
        <v>45813</v>
      </c>
      <c r="E165">
        <v>61</v>
      </c>
      <c r="F165">
        <f t="shared" si="2"/>
        <v>3.1436655139893049E-2</v>
      </c>
      <c r="G165">
        <v>2120.6666666666665</v>
      </c>
      <c r="H165">
        <v>2054</v>
      </c>
    </row>
    <row r="166" spans="1:8" x14ac:dyDescent="0.25">
      <c r="A166" t="s">
        <v>200</v>
      </c>
      <c r="B166" s="1">
        <v>43982</v>
      </c>
      <c r="C166">
        <v>2020</v>
      </c>
      <c r="D166" s="1">
        <v>44021</v>
      </c>
      <c r="E166">
        <v>40</v>
      </c>
      <c r="F166">
        <f t="shared" si="2"/>
        <v>0.56402199528672425</v>
      </c>
      <c r="G166">
        <v>848.66666666666663</v>
      </c>
      <c r="H166">
        <v>370</v>
      </c>
    </row>
    <row r="167" spans="1:8" x14ac:dyDescent="0.25">
      <c r="A167" t="s">
        <v>200</v>
      </c>
      <c r="B167" s="1">
        <v>44355</v>
      </c>
      <c r="C167">
        <v>2021</v>
      </c>
      <c r="D167" s="1">
        <v>44352</v>
      </c>
      <c r="E167">
        <v>27</v>
      </c>
      <c r="F167">
        <f t="shared" si="2"/>
        <v>0.18591279348346901</v>
      </c>
      <c r="G167">
        <v>1391.3333333333333</v>
      </c>
      <c r="H167">
        <v>1132.6666666666667</v>
      </c>
    </row>
    <row r="168" spans="1:8" x14ac:dyDescent="0.25">
      <c r="A168" t="s">
        <v>200</v>
      </c>
      <c r="B168" s="1">
        <v>44713</v>
      </c>
      <c r="C168">
        <v>2022</v>
      </c>
      <c r="D168" s="1">
        <v>44750</v>
      </c>
      <c r="E168">
        <v>37</v>
      </c>
      <c r="F168">
        <f t="shared" si="2"/>
        <v>0.3801324503311258</v>
      </c>
      <c r="G168">
        <v>503.33333333333331</v>
      </c>
      <c r="H168">
        <v>312</v>
      </c>
    </row>
    <row r="169" spans="1:8" x14ac:dyDescent="0.25">
      <c r="A169" t="s">
        <v>201</v>
      </c>
      <c r="B169" s="1"/>
      <c r="C169">
        <v>2023</v>
      </c>
      <c r="D169" s="1">
        <v>45107</v>
      </c>
      <c r="F169">
        <f t="shared" si="2"/>
        <v>0.20518307180218734</v>
      </c>
      <c r="G169">
        <v>4206</v>
      </c>
      <c r="H169">
        <v>3343</v>
      </c>
    </row>
    <row r="170" spans="1:8" x14ac:dyDescent="0.25">
      <c r="A170" t="s">
        <v>179</v>
      </c>
      <c r="B170" s="1">
        <v>43946</v>
      </c>
      <c r="C170">
        <v>2020</v>
      </c>
      <c r="D170" s="1">
        <v>44005</v>
      </c>
      <c r="E170">
        <v>59</v>
      </c>
      <c r="F170">
        <f t="shared" si="2"/>
        <v>0.11385390428211577</v>
      </c>
      <c r="G170">
        <v>1323.3333333333333</v>
      </c>
      <c r="H170">
        <v>1172.6666666666667</v>
      </c>
    </row>
    <row r="171" spans="1:8" x14ac:dyDescent="0.25">
      <c r="A171" t="s">
        <v>179</v>
      </c>
      <c r="B171" s="1">
        <v>44259</v>
      </c>
      <c r="C171">
        <v>2021</v>
      </c>
      <c r="D171" s="1">
        <v>44369</v>
      </c>
      <c r="E171">
        <v>110</v>
      </c>
      <c r="F171">
        <f t="shared" si="2"/>
        <v>0.41558394160583945</v>
      </c>
      <c r="G171">
        <v>2740</v>
      </c>
      <c r="H171">
        <v>1601.3</v>
      </c>
    </row>
    <row r="172" spans="1:8" x14ac:dyDescent="0.25">
      <c r="A172" t="s">
        <v>179</v>
      </c>
      <c r="B172" s="1">
        <v>44603</v>
      </c>
      <c r="C172">
        <v>2022</v>
      </c>
      <c r="D172" s="1">
        <v>44720</v>
      </c>
      <c r="E172">
        <v>136</v>
      </c>
      <c r="F172">
        <f t="shared" si="2"/>
        <v>0.16428571428571423</v>
      </c>
      <c r="G172">
        <v>2146.6666666666665</v>
      </c>
      <c r="H172">
        <v>1794</v>
      </c>
    </row>
    <row r="173" spans="1:8" x14ac:dyDescent="0.25">
      <c r="A173" t="s">
        <v>179</v>
      </c>
      <c r="B173" s="1"/>
      <c r="C173">
        <v>2023</v>
      </c>
      <c r="D173" s="1">
        <v>45085</v>
      </c>
      <c r="F173">
        <f t="shared" si="2"/>
        <v>2.1597710122300287E-2</v>
      </c>
      <c r="G173">
        <v>3843</v>
      </c>
      <c r="H173">
        <v>3760</v>
      </c>
    </row>
    <row r="174" spans="1:8" x14ac:dyDescent="0.25">
      <c r="A174" t="s">
        <v>179</v>
      </c>
      <c r="B174" s="1">
        <v>45337</v>
      </c>
      <c r="C174">
        <v>2024</v>
      </c>
      <c r="D174" s="1">
        <v>45446</v>
      </c>
      <c r="E174">
        <v>110</v>
      </c>
      <c r="F174">
        <f t="shared" si="2"/>
        <v>0.30180180192034139</v>
      </c>
      <c r="G174">
        <v>2812</v>
      </c>
      <c r="H174">
        <v>1963.333333</v>
      </c>
    </row>
    <row r="175" spans="1:8" ht="17.25" customHeight="1" x14ac:dyDescent="0.25">
      <c r="A175" t="s">
        <v>179</v>
      </c>
      <c r="B175" s="1">
        <v>45748</v>
      </c>
      <c r="C175">
        <v>2025</v>
      </c>
      <c r="D175" s="1">
        <v>45810</v>
      </c>
      <c r="E175">
        <v>62</v>
      </c>
      <c r="F175">
        <f t="shared" si="2"/>
        <v>3.0306809678223998E-2</v>
      </c>
      <c r="G175">
        <v>5345.333333333333</v>
      </c>
      <c r="H175">
        <v>5183.333333333333</v>
      </c>
    </row>
    <row r="176" spans="1:8" x14ac:dyDescent="0.25">
      <c r="A176" t="s">
        <v>203</v>
      </c>
      <c r="B176" s="1">
        <v>43922</v>
      </c>
      <c r="C176">
        <v>2020</v>
      </c>
      <c r="D176" s="1">
        <v>43978</v>
      </c>
      <c r="E176">
        <v>57</v>
      </c>
      <c r="F176">
        <f t="shared" si="2"/>
        <v>0.47502656748140271</v>
      </c>
      <c r="G176">
        <v>3136.6666666666665</v>
      </c>
      <c r="H176">
        <v>1646.6666666666667</v>
      </c>
    </row>
    <row r="177" spans="1:8" x14ac:dyDescent="0.25">
      <c r="A177" t="s">
        <v>203</v>
      </c>
      <c r="B177" s="1">
        <v>44622</v>
      </c>
      <c r="C177">
        <v>2022</v>
      </c>
      <c r="D177" s="1">
        <v>44712</v>
      </c>
      <c r="E177">
        <v>90</v>
      </c>
      <c r="F177">
        <f t="shared" si="2"/>
        <v>0.22234611953612854</v>
      </c>
      <c r="G177">
        <v>2989.3333333333335</v>
      </c>
      <c r="H177">
        <v>2324.6666666666665</v>
      </c>
    </row>
    <row r="178" spans="1:8" x14ac:dyDescent="0.25">
      <c r="A178" t="s">
        <v>203</v>
      </c>
      <c r="B178" s="1"/>
      <c r="C178">
        <v>2023</v>
      </c>
      <c r="D178" s="1">
        <v>45084</v>
      </c>
      <c r="F178">
        <f t="shared" si="2"/>
        <v>0.30535360211500329</v>
      </c>
      <c r="G178">
        <v>5043.3333333333339</v>
      </c>
      <c r="H178">
        <v>3503.3333333333339</v>
      </c>
    </row>
    <row r="179" spans="1:8" x14ac:dyDescent="0.25">
      <c r="A179" t="s">
        <v>203</v>
      </c>
      <c r="B179" s="1">
        <v>45337</v>
      </c>
      <c r="C179">
        <v>2024</v>
      </c>
      <c r="D179" s="1">
        <v>45446</v>
      </c>
      <c r="E179">
        <v>110</v>
      </c>
      <c r="F179">
        <f t="shared" si="2"/>
        <v>0.14816326530612245</v>
      </c>
      <c r="G179">
        <v>3266.6666666666665</v>
      </c>
      <c r="H179">
        <v>2782.6666666666665</v>
      </c>
    </row>
    <row r="180" spans="1:8" x14ac:dyDescent="0.25">
      <c r="A180" t="s">
        <v>203</v>
      </c>
      <c r="B180" s="1">
        <v>45747</v>
      </c>
      <c r="C180">
        <v>2025</v>
      </c>
      <c r="D180" s="1">
        <v>45813</v>
      </c>
      <c r="E180">
        <v>66</v>
      </c>
      <c r="F180">
        <f t="shared" si="2"/>
        <v>0.35560253699788585</v>
      </c>
      <c r="G180">
        <v>4730</v>
      </c>
      <c r="H180">
        <v>3048</v>
      </c>
    </row>
    <row r="181" spans="1:8" x14ac:dyDescent="0.25">
      <c r="A181" t="s">
        <v>203</v>
      </c>
      <c r="B181" s="1">
        <v>46091</v>
      </c>
      <c r="C181">
        <v>2026</v>
      </c>
      <c r="D181" s="1">
        <v>46184</v>
      </c>
      <c r="E181">
        <v>93</v>
      </c>
      <c r="F181">
        <f t="shared" si="2"/>
        <v>0.4780821917808219</v>
      </c>
      <c r="G181">
        <v>4380</v>
      </c>
      <c r="H181">
        <v>2286</v>
      </c>
    </row>
    <row r="182" spans="1:8" x14ac:dyDescent="0.25">
      <c r="A182" t="s">
        <v>204</v>
      </c>
      <c r="B182" s="1">
        <v>43922</v>
      </c>
      <c r="C182">
        <v>2020</v>
      </c>
      <c r="D182" s="1">
        <v>43978</v>
      </c>
      <c r="E182">
        <v>57</v>
      </c>
      <c r="F182">
        <f t="shared" si="2"/>
        <v>0.2110606465402084</v>
      </c>
      <c r="G182">
        <v>2495.3333333333335</v>
      </c>
      <c r="H182">
        <v>1968.6666666666667</v>
      </c>
    </row>
    <row r="183" spans="1:8" x14ac:dyDescent="0.25">
      <c r="A183" t="s">
        <v>204</v>
      </c>
      <c r="B183" s="1">
        <v>44299</v>
      </c>
      <c r="C183">
        <v>2021</v>
      </c>
      <c r="D183" s="1">
        <v>44363</v>
      </c>
      <c r="E183">
        <v>64</v>
      </c>
      <c r="F183">
        <f t="shared" si="2"/>
        <v>0.26627935124667151</v>
      </c>
      <c r="G183">
        <v>1239.3</v>
      </c>
      <c r="H183">
        <v>909.3</v>
      </c>
    </row>
    <row r="184" spans="1:8" x14ac:dyDescent="0.25">
      <c r="A184" t="s">
        <v>205</v>
      </c>
      <c r="B184" s="1">
        <v>44622</v>
      </c>
      <c r="C184">
        <v>2022</v>
      </c>
      <c r="D184" s="1">
        <v>44712</v>
      </c>
      <c r="E184">
        <v>90</v>
      </c>
      <c r="F184">
        <f t="shared" si="2"/>
        <v>0.51206563706563701</v>
      </c>
      <c r="G184">
        <v>2762.6666666666665</v>
      </c>
      <c r="H184">
        <v>1348</v>
      </c>
    </row>
    <row r="185" spans="1:8" x14ac:dyDescent="0.25">
      <c r="A185" t="s">
        <v>205</v>
      </c>
      <c r="B185" s="1"/>
      <c r="C185">
        <v>2023</v>
      </c>
      <c r="D185" s="1">
        <v>45084</v>
      </c>
      <c r="F185">
        <f t="shared" si="2"/>
        <v>9.4108789760980784E-4</v>
      </c>
      <c r="G185">
        <v>3542.0000000000005</v>
      </c>
      <c r="H185">
        <v>3538.6666666666665</v>
      </c>
    </row>
    <row r="186" spans="1:8" x14ac:dyDescent="0.25">
      <c r="A186" t="s">
        <v>205</v>
      </c>
      <c r="B186" s="1">
        <v>45337</v>
      </c>
      <c r="C186">
        <v>2024</v>
      </c>
      <c r="D186" s="1">
        <v>45446</v>
      </c>
      <c r="E186">
        <v>110</v>
      </c>
      <c r="F186">
        <f t="shared" si="2"/>
        <v>0.50515259601664686</v>
      </c>
      <c r="G186">
        <v>3364</v>
      </c>
      <c r="H186">
        <v>1664.666667</v>
      </c>
    </row>
    <row r="187" spans="1:8" x14ac:dyDescent="0.25">
      <c r="A187" t="s">
        <v>205</v>
      </c>
      <c r="B187" s="1">
        <v>45748</v>
      </c>
      <c r="C187">
        <v>2025</v>
      </c>
      <c r="D187" s="1">
        <v>45810</v>
      </c>
      <c r="E187">
        <v>62</v>
      </c>
      <c r="F187">
        <f t="shared" si="2"/>
        <v>-0.18574712643678157</v>
      </c>
      <c r="G187">
        <v>2900</v>
      </c>
      <c r="H187">
        <v>3438.6666666666665</v>
      </c>
    </row>
    <row r="188" spans="1:8" x14ac:dyDescent="0.25">
      <c r="A188" t="s">
        <v>205</v>
      </c>
      <c r="B188" s="1">
        <v>46091</v>
      </c>
      <c r="C188">
        <v>2026</v>
      </c>
      <c r="D188" s="1">
        <v>46174</v>
      </c>
      <c r="E188">
        <v>83</v>
      </c>
      <c r="F188">
        <f t="shared" si="2"/>
        <v>0.25685676969960819</v>
      </c>
      <c r="G188">
        <v>2297</v>
      </c>
      <c r="H188">
        <v>1707</v>
      </c>
    </row>
    <row r="189" spans="1:8" x14ac:dyDescent="0.25">
      <c r="A189" t="s">
        <v>208</v>
      </c>
      <c r="B189" s="1"/>
      <c r="C189">
        <v>2023</v>
      </c>
      <c r="D189" s="1">
        <v>45093</v>
      </c>
      <c r="F189">
        <f t="shared" si="2"/>
        <v>0.48732907930720137</v>
      </c>
      <c r="G189">
        <v>3656.6666666666665</v>
      </c>
      <c r="H189">
        <v>1874.666666666667</v>
      </c>
    </row>
    <row r="190" spans="1:8" x14ac:dyDescent="0.25">
      <c r="A190" t="s">
        <v>208</v>
      </c>
      <c r="B190" s="1">
        <v>45337</v>
      </c>
      <c r="C190">
        <v>2024</v>
      </c>
      <c r="D190" s="1">
        <v>45471</v>
      </c>
      <c r="E190">
        <v>135</v>
      </c>
      <c r="F190">
        <f t="shared" si="2"/>
        <v>0.1123660586446568</v>
      </c>
      <c r="G190">
        <v>2302</v>
      </c>
      <c r="H190">
        <v>2043.333333</v>
      </c>
    </row>
    <row r="191" spans="1:8" x14ac:dyDescent="0.25">
      <c r="A191" t="s">
        <v>208</v>
      </c>
      <c r="B191" s="1">
        <v>45747</v>
      </c>
      <c r="C191">
        <v>2025</v>
      </c>
      <c r="D191" s="1">
        <v>45813</v>
      </c>
      <c r="E191">
        <v>66</v>
      </c>
      <c r="F191">
        <f t="shared" si="2"/>
        <v>5.8464223385689351E-2</v>
      </c>
      <c r="G191">
        <v>2292</v>
      </c>
      <c r="H191">
        <v>2158</v>
      </c>
    </row>
    <row r="192" spans="1:8" x14ac:dyDescent="0.25">
      <c r="A192" t="s">
        <v>208</v>
      </c>
      <c r="B192" s="1">
        <v>46094</v>
      </c>
      <c r="C192">
        <v>2026</v>
      </c>
      <c r="D192" s="1">
        <v>46184</v>
      </c>
      <c r="E192">
        <v>90</v>
      </c>
      <c r="F192">
        <f t="shared" ref="F192:F202" si="3">(G192-H192)/G192</f>
        <v>0.24793789422610382</v>
      </c>
      <c r="G192">
        <v>2061</v>
      </c>
      <c r="H192">
        <v>1550</v>
      </c>
    </row>
    <row r="193" spans="1:8" x14ac:dyDescent="0.25">
      <c r="A193" t="s">
        <v>209</v>
      </c>
      <c r="B193" s="1">
        <v>43915</v>
      </c>
      <c r="C193">
        <v>2020</v>
      </c>
      <c r="D193" s="1">
        <v>43978</v>
      </c>
      <c r="E193">
        <v>64</v>
      </c>
      <c r="F193">
        <f t="shared" si="3"/>
        <v>0.16603415559772297</v>
      </c>
      <c r="G193">
        <v>2108</v>
      </c>
      <c r="H193">
        <v>1758</v>
      </c>
    </row>
    <row r="194" spans="1:8" x14ac:dyDescent="0.25">
      <c r="A194" t="s">
        <v>209</v>
      </c>
      <c r="B194" s="1">
        <v>44270</v>
      </c>
      <c r="C194">
        <v>2021</v>
      </c>
      <c r="D194" s="1">
        <v>44375</v>
      </c>
      <c r="E194">
        <v>105</v>
      </c>
      <c r="F194">
        <f t="shared" si="3"/>
        <v>0.14842805320435315</v>
      </c>
      <c r="G194">
        <v>2205.3333333333335</v>
      </c>
      <c r="H194">
        <v>1878</v>
      </c>
    </row>
    <row r="195" spans="1:8" x14ac:dyDescent="0.25">
      <c r="A195" t="s">
        <v>209</v>
      </c>
      <c r="B195" s="1">
        <v>44624</v>
      </c>
      <c r="C195">
        <v>2022</v>
      </c>
      <c r="D195" s="1">
        <v>44725</v>
      </c>
      <c r="E195">
        <v>100</v>
      </c>
      <c r="F195">
        <f t="shared" si="3"/>
        <v>0.34203821656050964</v>
      </c>
      <c r="G195">
        <v>1046.6666666666667</v>
      </c>
      <c r="H195">
        <v>688.66666666666663</v>
      </c>
    </row>
    <row r="196" spans="1:8" x14ac:dyDescent="0.25">
      <c r="A196" t="s">
        <v>298</v>
      </c>
      <c r="B196" s="1">
        <v>43920</v>
      </c>
      <c r="C196">
        <v>2020</v>
      </c>
      <c r="D196" s="1">
        <v>43998</v>
      </c>
      <c r="E196">
        <v>78</v>
      </c>
      <c r="F196">
        <f t="shared" si="3"/>
        <v>0.27586206896551718</v>
      </c>
      <c r="G196">
        <v>2590.6666666666665</v>
      </c>
      <c r="H196">
        <v>1876</v>
      </c>
    </row>
    <row r="197" spans="1:8" x14ac:dyDescent="0.25">
      <c r="A197" t="s">
        <v>298</v>
      </c>
      <c r="B197" s="1"/>
      <c r="C197">
        <v>2021</v>
      </c>
      <c r="D197" s="1">
        <v>44362</v>
      </c>
      <c r="F197">
        <f t="shared" si="3"/>
        <v>0.14940485808154258</v>
      </c>
      <c r="G197">
        <v>1856.7</v>
      </c>
      <c r="H197">
        <v>1579.3</v>
      </c>
    </row>
    <row r="198" spans="1:8" x14ac:dyDescent="0.25">
      <c r="A198" t="s">
        <v>298</v>
      </c>
      <c r="B198" s="1">
        <v>44624</v>
      </c>
      <c r="C198">
        <v>2022</v>
      </c>
      <c r="D198" s="1">
        <v>44739</v>
      </c>
      <c r="E198">
        <v>115</v>
      </c>
      <c r="F198">
        <f t="shared" si="3"/>
        <v>0.63314840499306524</v>
      </c>
      <c r="G198">
        <v>961.33333333333337</v>
      </c>
      <c r="H198">
        <v>352.66666666666669</v>
      </c>
    </row>
    <row r="199" spans="1:8" x14ac:dyDescent="0.25">
      <c r="A199" t="s">
        <v>210</v>
      </c>
      <c r="B199" s="1">
        <v>43922</v>
      </c>
      <c r="C199">
        <v>2020</v>
      </c>
      <c r="D199" s="1">
        <v>43977</v>
      </c>
      <c r="E199">
        <v>56</v>
      </c>
      <c r="F199">
        <f t="shared" si="3"/>
        <v>0.34760522496371549</v>
      </c>
      <c r="G199">
        <v>918.66666666666663</v>
      </c>
      <c r="H199">
        <v>599.33333333333337</v>
      </c>
    </row>
    <row r="200" spans="1:8" x14ac:dyDescent="0.25">
      <c r="A200" t="s">
        <v>211</v>
      </c>
      <c r="B200" s="1">
        <v>43922</v>
      </c>
      <c r="C200">
        <v>2020</v>
      </c>
      <c r="D200" s="1">
        <v>43991</v>
      </c>
      <c r="E200">
        <v>70</v>
      </c>
      <c r="F200">
        <f t="shared" si="3"/>
        <v>-0.14175654853620956</v>
      </c>
      <c r="G200">
        <v>1298</v>
      </c>
      <c r="H200">
        <v>1482</v>
      </c>
    </row>
    <row r="201" spans="1:8" x14ac:dyDescent="0.25">
      <c r="A201" t="s">
        <v>211</v>
      </c>
      <c r="B201" s="1">
        <v>44291</v>
      </c>
      <c r="C201">
        <v>2021</v>
      </c>
      <c r="D201" s="1">
        <v>44361</v>
      </c>
      <c r="E201">
        <v>70</v>
      </c>
      <c r="F201">
        <f t="shared" si="3"/>
        <v>0.22063933287004872</v>
      </c>
      <c r="G201">
        <v>1918.6666666666667</v>
      </c>
      <c r="H201">
        <v>1495.3333333333333</v>
      </c>
    </row>
    <row r="202" spans="1:8" x14ac:dyDescent="0.25">
      <c r="A202" t="s">
        <v>211</v>
      </c>
      <c r="B202" s="1">
        <v>44656</v>
      </c>
      <c r="C202">
        <v>2022</v>
      </c>
      <c r="D202" s="1">
        <v>44721</v>
      </c>
      <c r="E202">
        <v>431</v>
      </c>
      <c r="F202">
        <f t="shared" si="3"/>
        <v>-7.6849183477426097E-3</v>
      </c>
      <c r="G202">
        <v>694</v>
      </c>
      <c r="H202">
        <v>699.33333333333337</v>
      </c>
    </row>
  </sheetData>
  <autoFilter ref="A1:H202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LISEZ-MOI</vt:lpstr>
      <vt:lpstr>info_points_2026</vt:lpstr>
      <vt:lpstr>info_points</vt:lpstr>
      <vt:lpstr>tableau_floristique</vt:lpstr>
      <vt:lpstr>biomasses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gabin laville</cp:lastModifiedBy>
  <cp:lastPrinted>2026-06-08T14:52:10Z</cp:lastPrinted>
  <dcterms:created xsi:type="dcterms:W3CDTF">2026-03-27T13:03:30Z</dcterms:created>
  <dcterms:modified xsi:type="dcterms:W3CDTF">2026-10-19T09:30:30Z</dcterms:modified>
</cp:coreProperties>
</file>