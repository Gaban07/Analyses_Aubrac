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ingé\3A\Stage\Cervides_Aubrac\Analyse\Analyses_Aubrac\foret\data\"/>
    </mc:Choice>
  </mc:AlternateContent>
  <xr:revisionPtr revIDLastSave="0" documentId="13_ncr:1_{168A9EFD-126D-4FE6-B49B-9477DC061C98}" xr6:coauthVersionLast="47" xr6:coauthVersionMax="47" xr10:uidLastSave="{00000000-0000-0000-0000-000000000000}"/>
  <bookViews>
    <workbookView xWindow="-120" yWindow="-120" windowWidth="20730" windowHeight="11160" tabRatio="759" activeTab="1" xr2:uid="{00000000-000D-0000-FFFF-FFFF00000000}"/>
  </bookViews>
  <sheets>
    <sheet name="LISEZ-MOI" sheetId="1" r:id="rId1"/>
    <sheet name="TABLEAU_Placette" sheetId="2" r:id="rId2"/>
    <sheet name="SAISIE_Abroutissement" sheetId="3" r:id="rId3"/>
    <sheet name="TABLEAU_Floristique" sheetId="4" r:id="rId4"/>
    <sheet name="CALCUL_Taux" sheetId="5" r:id="rId5"/>
    <sheet name="CALCUL_Ligneux" sheetId="6" r:id="rId6"/>
    <sheet name="CLASSES_Structure" sheetId="7" r:id="rId7"/>
  </sheets>
  <definedNames>
    <definedName name="_xlnm._FilterDatabase" localSheetId="3" hidden="1">TABLEAU_Floristique!$A$1:$DC$244</definedName>
    <definedName name="_xlnm._FilterDatabase" localSheetId="1" hidden="1">TABLEAU_Placette!$A$1:$BA$108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Z108" i="2" l="1"/>
  <c r="Z107" i="2"/>
  <c r="Z106" i="2"/>
  <c r="Z105" i="2"/>
  <c r="Z104" i="2"/>
  <c r="Z103" i="2"/>
  <c r="Z102" i="2"/>
  <c r="Z101" i="2"/>
  <c r="Z100" i="2"/>
  <c r="Z99" i="2"/>
  <c r="Z98" i="2"/>
  <c r="Z97" i="2"/>
  <c r="Z96" i="2"/>
  <c r="Z95" i="2"/>
  <c r="Z94" i="2"/>
  <c r="Z93" i="2"/>
  <c r="Z92" i="2"/>
  <c r="Z91" i="2"/>
  <c r="Z90" i="2"/>
  <c r="Z89" i="2"/>
  <c r="Z88" i="2"/>
  <c r="Z87" i="2"/>
  <c r="Z86" i="2"/>
  <c r="Z85" i="2"/>
  <c r="Z84" i="2"/>
  <c r="Z83" i="2"/>
  <c r="Z82" i="2"/>
  <c r="Z81" i="2"/>
  <c r="Z80" i="2"/>
  <c r="Z79" i="2"/>
  <c r="Z78" i="2"/>
  <c r="Z77" i="2"/>
  <c r="Z76" i="2"/>
  <c r="Z75" i="2"/>
  <c r="Z74" i="2"/>
  <c r="Z73" i="2"/>
  <c r="Z72" i="2"/>
  <c r="Z71" i="2"/>
  <c r="Z70" i="2"/>
  <c r="Z69" i="2"/>
  <c r="Z68" i="2"/>
  <c r="Z67" i="2"/>
  <c r="Z66" i="2"/>
  <c r="Z65" i="2"/>
  <c r="Z64" i="2"/>
  <c r="Z63" i="2"/>
  <c r="Z62" i="2"/>
  <c r="Z61" i="2"/>
  <c r="Z60" i="2"/>
  <c r="Z59" i="2"/>
  <c r="Z58" i="2"/>
  <c r="Z57" i="2"/>
  <c r="Z56" i="2"/>
  <c r="Z55" i="2"/>
  <c r="Z54" i="2"/>
  <c r="Z53" i="2"/>
  <c r="Z52" i="2"/>
  <c r="Z51" i="2"/>
  <c r="Z50" i="2"/>
  <c r="Z49" i="2"/>
  <c r="Z48" i="2"/>
  <c r="Z47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4" i="2"/>
  <c r="Z3" i="2"/>
  <c r="Z2" i="2"/>
</calcChain>
</file>

<file path=xl/sharedStrings.xml><?xml version="1.0" encoding="utf-8"?>
<sst xmlns="http://schemas.openxmlformats.org/spreadsheetml/2006/main" count="6162" uniqueCount="1466">
  <si>
    <t>TABLEAU_PLACETTE</t>
  </si>
  <si>
    <t>Informations relatives à la placette</t>
  </si>
  <si>
    <t>ID</t>
  </si>
  <si>
    <t>Identifiant</t>
  </si>
  <si>
    <t>DATE</t>
  </si>
  <si>
    <t>Date du relevé au format jj/mm/aaaa. NB : Le relevé phytosociologique peut avoir été réalisé plus tard que la date indiquée. Les relevés sans date ont été effectués entre le 26/05 et le 02/05</t>
  </si>
  <si>
    <t>OBS</t>
  </si>
  <si>
    <t>Observateurs</t>
  </si>
  <si>
    <t>X_L93</t>
  </si>
  <si>
    <t>Coordonnée métrique X (Lambert 93)</t>
  </si>
  <si>
    <t>Y_L93</t>
  </si>
  <si>
    <t>Coordonnée métrique Y (Lambert 93)</t>
  </si>
  <si>
    <t>PENTE</t>
  </si>
  <si>
    <t>Classe de pente. 1 = plat ou très faible, 2 = faible pente (&lt;5%), 3 = pente moyenne (5 à 10 %), 4 = forte pente (10 à 30%), 5 = très forte pente (&gt;30%)</t>
  </si>
  <si>
    <t>EXPO</t>
  </si>
  <si>
    <t>Exposition (°) calculée à partir du MNT</t>
  </si>
  <si>
    <t>ALTI</t>
  </si>
  <si>
    <t>Altitude (m) calculée à partir du MNT</t>
  </si>
  <si>
    <t>TOPO</t>
  </si>
  <si>
    <t>Classe de topographie. 1 = vallée, 2 = dépression, 3 = fond de vallon, 4 = bas de versant, 5 = milieu de versant, 6 = haut de versant, 7 = rebord de plateau ou de falaise, 8 = plateau, 9 = sommet</t>
  </si>
  <si>
    <t>G</t>
  </si>
  <si>
    <t>Surface terrière (m²/ha) mesurée à partir d’un tour relascopique au centre de la placette. Certaines données sont manquantes</t>
  </si>
  <si>
    <t>STC</t>
  </si>
  <si>
    <r>
      <rPr>
        <sz val="11"/>
        <color theme="1"/>
        <rFont val="Calibri"/>
        <family val="2"/>
        <charset val="1"/>
      </rPr>
      <t xml:space="preserve">Classe de structure forestière (voir </t>
    </r>
    <r>
      <rPr>
        <b/>
        <sz val="11"/>
        <color theme="1"/>
        <rFont val="Calibri"/>
        <family val="2"/>
        <charset val="1"/>
      </rPr>
      <t>CLASSES_Structure</t>
    </r>
    <r>
      <rPr>
        <sz val="11"/>
        <color theme="1"/>
        <rFont val="Calibri"/>
        <family val="2"/>
        <charset val="1"/>
      </rPr>
      <t>)</t>
    </r>
  </si>
  <si>
    <t>REC_ARBO</t>
  </si>
  <si>
    <t>Coefficient de recouvrement de la strate arborée sur la placette de 20x20m selon l’échelle Braun-Blanquet : + = &lt;5 % peu abondant, 1 = &lt;5 % relativement abondant, 2 = entre 5 et 25 %, 3 = entre 25 et 50 %, 4 = entre 50 et 75 %, 5 = &gt;75 %</t>
  </si>
  <si>
    <t>REC_ARBU</t>
  </si>
  <si>
    <t>Coefficient de recouvrement de la strate arbustive sur la placette de 20x20m selon l’échelle Braun-Blanquet : + = &lt;5 % peu abondant, 1 = &lt;5 % relativement abondant, 2 = entre 5 et 25 %, 3 = entre 25 et 50 %, 4 = entre 50 et 75 %, 5 = &gt;75 %</t>
  </si>
  <si>
    <t>REC_HERBA</t>
  </si>
  <si>
    <t>Coefficient de recouvrement de la strate herbacée sur la placette de 20x20m selon l’échelle Braun-Blanquet : + = &lt;5 % peu abondant, 1 = &lt;5 % relativement abondant, 2 = entre 5 et 25 %, 3 = entre 25 et 50 %, 4 = entre 50 et 75 %, 5 = &gt;75 %</t>
  </si>
  <si>
    <t>TRAN_NS_FECES</t>
  </si>
  <si>
    <t>Nombre de fèces sur le transect Nord-Sud de 20m</t>
  </si>
  <si>
    <t>TRAN_NS_FROT</t>
  </si>
  <si>
    <t>Nombre de frottis sur le transect Nord-Sud de 20m</t>
  </si>
  <si>
    <t>TRAN_NS_ECOR</t>
  </si>
  <si>
    <t>Nombre d’écorçages sur le transect Nord-Sud de 20m</t>
  </si>
  <si>
    <t>TRAN_EO_FECES</t>
  </si>
  <si>
    <t>Nombre de fèces sur le transect Est-Ouest de 20m</t>
  </si>
  <si>
    <t>TRAN_EO_FROT</t>
  </si>
  <si>
    <t>Nombre de frottis sur le transect Est-Ouest de 20m</t>
  </si>
  <si>
    <t>TRAN_EO_ECOR</t>
  </si>
  <si>
    <t>Nombre d’écorçages sur le transect Est-Ouest de 20m</t>
  </si>
  <si>
    <t>POSI_SP1</t>
  </si>
  <si>
    <t>Position cardinale de la première sous-placette (à 10m du centre)</t>
  </si>
  <si>
    <t>POSI_SP2</t>
  </si>
  <si>
    <t>Position cardinale de la deuxième sous-placette (à 10m du centre)</t>
  </si>
  <si>
    <t>POSI_SP3</t>
  </si>
  <si>
    <t>Position cardinale de la troisième sous-placette (à 10m du centre)</t>
  </si>
  <si>
    <t>PPL</t>
  </si>
  <si>
    <r>
      <rPr>
        <sz val="11"/>
        <color theme="1"/>
        <rFont val="Calibri"/>
        <family val="2"/>
        <charset val="1"/>
      </rPr>
      <t xml:space="preserve">Classe de peuplement (voir </t>
    </r>
    <r>
      <rPr>
        <b/>
        <sz val="11"/>
        <color theme="1"/>
        <rFont val="Calibri"/>
        <family val="2"/>
        <charset val="1"/>
      </rPr>
      <t>CLASSES_Structure</t>
    </r>
    <r>
      <rPr>
        <sz val="11"/>
        <color theme="1"/>
        <rFont val="Calibri"/>
        <family val="2"/>
        <charset val="1"/>
      </rPr>
      <t>)</t>
    </r>
  </si>
  <si>
    <t>UNI</t>
  </si>
  <si>
    <r>
      <rPr>
        <sz val="11"/>
        <color theme="1"/>
        <rFont val="Calibri"/>
        <family val="2"/>
        <charset val="1"/>
      </rPr>
      <t xml:space="preserve">Unité d’échantillonnage (voir </t>
    </r>
    <r>
      <rPr>
        <b/>
        <sz val="11"/>
        <color theme="1"/>
        <rFont val="Calibri"/>
        <family val="2"/>
        <charset val="1"/>
      </rPr>
      <t>CLASSES_Structure</t>
    </r>
    <r>
      <rPr>
        <sz val="11"/>
        <color theme="1"/>
        <rFont val="Calibri"/>
        <family val="2"/>
        <charset val="1"/>
      </rPr>
      <t>)</t>
    </r>
  </si>
  <si>
    <t>REAL_PHYTO</t>
  </si>
  <si>
    <t>Réalisation du relevé phytosociologique</t>
  </si>
  <si>
    <t>PROP_FORET_250</t>
  </si>
  <si>
    <t>Proportion de forêt dans une zone tampon de 250m (source : BD Forêt v2 – IGN)</t>
  </si>
  <si>
    <t>PROP_FORET_500</t>
  </si>
  <si>
    <t>Proportion de forêt dans une zone tampon de 500m (source : BD Forêt v2 – IGN)</t>
  </si>
  <si>
    <t>DIST_DEP</t>
  </si>
  <si>
    <t>Distance (m) de la placette à une route départementale (source : BD TOPO – IGN)</t>
  </si>
  <si>
    <t>DIST_COM</t>
  </si>
  <si>
    <t>Distance (m) de la placette à une route communale carossée (source : BD TOPO – IGN)</t>
  </si>
  <si>
    <t>DIST_GR</t>
  </si>
  <si>
    <t>Distance (m) de la placette au GR65</t>
  </si>
  <si>
    <t>DIST_COURS_EAU</t>
  </si>
  <si>
    <t>Distance (m) de la placette au cours d’eau le plus proche (source : BD TOPAGE – IGN)</t>
  </si>
  <si>
    <t>PROP_FOR_ANC_500</t>
  </si>
  <si>
    <t>Proportion de forêt ancienne dans une zone tampon de 500m. Est considérée comme forêt ancienne toute surface dont le couvert boisé est attesté sur les cartes d’État-major du XIXème siècle (source : PNR de l’Aubrac)</t>
  </si>
  <si>
    <t>DIST_BAT</t>
  </si>
  <si>
    <t>Distance (m) de la placette au bâtiment le plus proche (source : BD TOPO – IGN)</t>
  </si>
  <si>
    <t>SURF_BAT_250</t>
  </si>
  <si>
    <t>Surface (m²) couverte par des bâtiments dans une zone tampon de 250m (source : BD TOPO – IGN)</t>
  </si>
  <si>
    <t>SURF_BAT_500</t>
  </si>
  <si>
    <t>Surface (m²) couverte par des bâtiments dans une zone tampon de 500m (source : BD TOPO – IGN)</t>
  </si>
  <si>
    <t>BHC_HI_2024</t>
  </si>
  <si>
    <t>Bilan hydrique climatique (P-ETP, mm) extrapolé pour l’hiver 2024 (source : Digitalis – UMR SILVA)</t>
  </si>
  <si>
    <t>DETH_HI_2024</t>
  </si>
  <si>
    <t>ETP_HI_2024</t>
  </si>
  <si>
    <t>Évapotranspiration potentielle calculée avec la formule de Turc (mm) (Piedallu et al, 2013) pour l’hiver 2024 (source : Digitalis – UMR SILVA)</t>
  </si>
  <si>
    <t>PREC_HI_2024</t>
  </si>
  <si>
    <t>Précipitations (mm) extrapolées par krigeage pour l’hiver 2024 (source : Digitalis – UMR SILVA) (source : Digitalis – UMR SILVA)</t>
  </si>
  <si>
    <t>RUTH_HI_2024</t>
  </si>
  <si>
    <t>Températures maximales moyennes (°C) calculées par modélisation (Briswalter 2021, Piedallu 2023) pour l’hiver 2024 (source : Digitalis – UMR SILVA)</t>
  </si>
  <si>
    <t>TMAX_HI_2024</t>
  </si>
  <si>
    <t>TMOY_HI_2024</t>
  </si>
  <si>
    <t>Températures moyennes (°C) calculées par modélisation (Briswalter 2021, Piedallu 2023) pour l’hiver 2024 (source : Digitalis – UMR SILVA)</t>
  </si>
  <si>
    <t>TMIN_HI_2024</t>
  </si>
  <si>
    <t>Températures minimales moyennes (°C) calculées par modélisation (Briswalter 2021, Piedallu 2023) pour l’hiver 2024 (source : Digitalis – UMR SILVA)</t>
  </si>
  <si>
    <t>PRELEV_CHEVREUIL_100HA</t>
  </si>
  <si>
    <t>PRELEV_BICHES_100HA</t>
  </si>
  <si>
    <t>PRELEV_CERF_ELAPHE_100HA</t>
  </si>
  <si>
    <t>ZONE</t>
  </si>
  <si>
    <t>Deux valeurs possibles : BORALDES = sous-entité paysagère correspondant aux Boraldes étendue au Lot, AUTRES = autres entités (plateau fermé, Viadène…)</t>
  </si>
  <si>
    <t>SAISIE_Abroutissement</t>
  </si>
  <si>
    <t>Relevés Aldous</t>
  </si>
  <si>
    <t>Taux de recouvrement</t>
  </si>
  <si>
    <r>
      <rPr>
        <sz val="11"/>
        <color theme="1"/>
        <rFont val="Calibri"/>
        <family val="2"/>
        <charset val="1"/>
      </rPr>
      <t xml:space="preserve">Taux de recouvrement de l’espèce sur la sous-placette de 38,5 m² (voir </t>
    </r>
    <r>
      <rPr>
        <b/>
        <sz val="11"/>
        <color theme="1"/>
        <rFont val="Calibri"/>
        <family val="2"/>
        <charset val="1"/>
      </rPr>
      <t>CALCUL_Taux)</t>
    </r>
  </si>
  <si>
    <t>Taux d’abroutissement</t>
  </si>
  <si>
    <r>
      <rPr>
        <sz val="11"/>
        <color theme="1"/>
        <rFont val="Calibri"/>
        <family val="2"/>
        <charset val="1"/>
      </rPr>
      <t xml:space="preserve">Taux d’abroutissement de l’espèce sur la sous-placette de 38,5 m² (voir </t>
    </r>
    <r>
      <rPr>
        <b/>
        <sz val="11"/>
        <color theme="1"/>
        <rFont val="Calibri"/>
        <family val="2"/>
        <charset val="1"/>
      </rPr>
      <t>CALCUL_Taux)</t>
    </r>
  </si>
  <si>
    <t>REMARQUES</t>
  </si>
  <si>
    <t>F1</t>
  </si>
  <si>
    <t>Gabin Laville</t>
  </si>
  <si>
    <t>FR</t>
  </si>
  <si>
    <t>Nord</t>
  </si>
  <si>
    <t>Sud</t>
  </si>
  <si>
    <t>Est</t>
  </si>
  <si>
    <t>HET</t>
  </si>
  <si>
    <t>AUTRE</t>
  </si>
  <si>
    <t>F10</t>
  </si>
  <si>
    <t>T</t>
  </si>
  <si>
    <t>MIX</t>
  </si>
  <si>
    <t>FEU</t>
  </si>
  <si>
    <t>BORALDES</t>
  </si>
  <si>
    <t>F100</t>
  </si>
  <si>
    <t>Simon Chollet, Gabin Laville</t>
  </si>
  <si>
    <t>FI</t>
  </si>
  <si>
    <t>CHE</t>
  </si>
  <si>
    <t>F101</t>
  </si>
  <si>
    <t>MTF</t>
  </si>
  <si>
    <t>CHA</t>
  </si>
  <si>
    <t>F102</t>
  </si>
  <si>
    <t>F103</t>
  </si>
  <si>
    <t>F104</t>
  </si>
  <si>
    <t>F105</t>
  </si>
  <si>
    <t>F106</t>
  </si>
  <si>
    <t>F107bis</t>
  </si>
  <si>
    <t>+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</si>
  <si>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</si>
  <si>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</si>
  <si>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</si>
  <si>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</si>
  <si>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</si>
  <si>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</si>
  <si>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</si>
  <si>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</si>
  <si>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</si>
  <si>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</t>
  </si>
  <si>
    <t>F20</t>
  </si>
  <si>
    <t>PIN</t>
  </si>
  <si>
    <t>CON</t>
  </si>
  <si>
    <t>F21</t>
  </si>
  <si>
    <t>F22</t>
  </si>
  <si>
    <t>F22bis</t>
  </si>
  <si>
    <t>F23</t>
  </si>
  <si>
    <t>F24</t>
  </si>
  <si>
    <t>F25</t>
  </si>
  <si>
    <t>F26</t>
  </si>
  <si>
    <t>F26bis</t>
  </si>
  <si>
    <t>F27</t>
  </si>
  <si>
    <t>F28</t>
  </si>
  <si>
    <t>F29</t>
  </si>
  <si>
    <t>F3</t>
  </si>
  <si>
    <t>F30</t>
  </si>
  <si>
    <t>F31</t>
  </si>
  <si>
    <t>F32</t>
  </si>
  <si>
    <t>F33</t>
  </si>
  <si>
    <t>F34</t>
  </si>
  <si>
    <t>F35</t>
  </si>
  <si>
    <t>F36</t>
  </si>
  <si>
    <t>chaos rocheu peu dense, biche observée à une dizaine de mètres au sud de la placette</t>
  </si>
  <si>
    <t>F36bis</t>
  </si>
  <si>
    <t>F37</t>
  </si>
  <si>
    <t>F38</t>
  </si>
  <si>
    <t>F39</t>
  </si>
  <si>
    <t>F4</t>
  </si>
  <si>
    <t>F40</t>
  </si>
  <si>
    <t>F41</t>
  </si>
  <si>
    <t>F42</t>
  </si>
  <si>
    <t>F43</t>
  </si>
  <si>
    <t>F44</t>
  </si>
  <si>
    <t>Ouest</t>
  </si>
  <si>
    <t>F45</t>
  </si>
  <si>
    <t>F46</t>
  </si>
  <si>
    <t>F47</t>
  </si>
  <si>
    <t>F48</t>
  </si>
  <si>
    <t>F49</t>
  </si>
  <si>
    <t>F5</t>
  </si>
  <si>
    <t>A</t>
  </si>
  <si>
    <t>coupes récentes</t>
  </si>
  <si>
    <t>F50</t>
  </si>
  <si>
    <t>Simon Chollet, Vincent Yung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</si>
  <si>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</si>
  <si>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</si>
  <si>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</si>
  <si>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</si>
  <si>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</si>
  <si>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</si>
  <si>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</si>
  <si>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</si>
  <si>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</si>
  <si>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</t>
  </si>
  <si>
    <t>SAP</t>
  </si>
  <si>
    <t>F60</t>
  </si>
  <si>
    <t>F61</t>
  </si>
  <si>
    <t>F62</t>
  </si>
  <si>
    <t>F63</t>
  </si>
  <si>
    <t>F64</t>
  </si>
  <si>
    <t>F66</t>
  </si>
  <si>
    <t>F67</t>
  </si>
  <si>
    <t>F69</t>
  </si>
  <si>
    <t>F7</t>
  </si>
  <si>
    <t>F71</t>
  </si>
  <si>
    <t>F72</t>
  </si>
  <si>
    <t>F73</t>
  </si>
  <si>
    <t>Vincent Jung, Gabin Laville</t>
  </si>
  <si>
    <t>chenil</t>
  </si>
  <si>
    <t>F74</t>
  </si>
  <si>
    <t>F75</t>
  </si>
  <si>
    <t>F76</t>
  </si>
  <si>
    <t>F77</t>
  </si>
  <si>
    <t>F78</t>
  </si>
  <si>
    <t>F79</t>
  </si>
  <si>
    <t>F8</t>
  </si>
  <si>
    <t>chaos rocheux</t>
  </si>
  <si>
    <t>F80</t>
  </si>
  <si>
    <t>F81</t>
  </si>
  <si>
    <t>F82</t>
  </si>
  <si>
    <t>taillis fureté mais structure de futaie irrégulière</t>
  </si>
  <si>
    <t>F83</t>
  </si>
  <si>
    <t>F84</t>
  </si>
  <si>
    <t>F85</t>
  </si>
  <si>
    <t>F86</t>
  </si>
  <si>
    <t>F87</t>
  </si>
  <si>
    <t>F88</t>
  </si>
  <si>
    <t>F89</t>
  </si>
  <si>
    <t>F9</t>
  </si>
  <si>
    <t>F90</t>
  </si>
  <si>
    <t>F91</t>
  </si>
  <si>
    <t>F92</t>
  </si>
  <si>
    <t>F93</t>
  </si>
  <si>
    <t>F94</t>
  </si>
  <si>
    <t>F95</t>
  </si>
  <si>
    <t>point apparaissant en milieu ouvert avec les coordonnées actuels</t>
  </si>
  <si>
    <t>F96</t>
  </si>
  <si>
    <t>F97</t>
  </si>
  <si>
    <t>F98</t>
  </si>
  <si>
    <t>Simon Chollet, Gabin lavile</t>
  </si>
  <si>
    <t>DOU</t>
  </si>
  <si>
    <t>plantation</t>
  </si>
  <si>
    <t>F99</t>
  </si>
  <si>
    <t>Placette</t>
  </si>
  <si>
    <t>Sous-placette</t>
  </si>
  <si>
    <t>Espèce</t>
  </si>
  <si>
    <t>Taux d'abroutissement</t>
  </si>
  <si>
    <t>F4_1</t>
  </si>
  <si>
    <t>Fraxinus excelsior</t>
  </si>
  <si>
    <t>Fagus sylvatica</t>
  </si>
  <si>
    <t>O</t>
  </si>
  <si>
    <t>Ribes alpinum</t>
  </si>
  <si>
    <t>Ilex aquifolium</t>
  </si>
  <si>
    <t>Rosa sp..</t>
  </si>
  <si>
    <t>F4_2</t>
  </si>
  <si>
    <t>Rubus fruticosus</t>
  </si>
  <si>
    <t>Lonicera periclymenum</t>
  </si>
  <si>
    <t>Quercus petraea</t>
  </si>
  <si>
    <t>F4_3</t>
  </si>
  <si>
    <t>Hedera helix</t>
  </si>
  <si>
    <t>Acer platanoides</t>
  </si>
  <si>
    <t>F7_1</t>
  </si>
  <si>
    <t>Sorbus aucuparia</t>
  </si>
  <si>
    <t>F7_2</t>
  </si>
  <si>
    <t>F7_3</t>
  </si>
  <si>
    <t>F18_1</t>
  </si>
  <si>
    <t>F18_2</t>
  </si>
  <si>
    <t>B</t>
  </si>
  <si>
    <t>F18_3</t>
  </si>
  <si>
    <t>F5_1</t>
  </si>
  <si>
    <t>Abies alba</t>
  </si>
  <si>
    <t>F5_2</t>
  </si>
  <si>
    <t>Rubus idaeus</t>
  </si>
  <si>
    <t>F5_3</t>
  </si>
  <si>
    <t>C</t>
  </si>
  <si>
    <t>F6_1</t>
  </si>
  <si>
    <t>Corylus avellana</t>
  </si>
  <si>
    <t>Vaccinium myrtillus</t>
  </si>
  <si>
    <t>F6_2</t>
  </si>
  <si>
    <t>F6_3</t>
  </si>
  <si>
    <t>F11_1</t>
  </si>
  <si>
    <t>Cytisus scoparius</t>
  </si>
  <si>
    <t>E</t>
  </si>
  <si>
    <t>Crataegus monogyna</t>
  </si>
  <si>
    <t>F11_2</t>
  </si>
  <si>
    <t>D</t>
  </si>
  <si>
    <t>F11_3</t>
  </si>
  <si>
    <t>F10_1</t>
  </si>
  <si>
    <t>F10_2</t>
  </si>
  <si>
    <t>F10_3</t>
  </si>
  <si>
    <t>F9_1</t>
  </si>
  <si>
    <t>F9_3</t>
  </si>
  <si>
    <t>F8_2</t>
  </si>
  <si>
    <t>F8_3</t>
  </si>
  <si>
    <t>F12_1</t>
  </si>
  <si>
    <t>F12_2</t>
  </si>
  <si>
    <t>F12_3</t>
  </si>
  <si>
    <t>F14_1</t>
  </si>
  <si>
    <t>F14_2</t>
  </si>
  <si>
    <t>F14_3</t>
  </si>
  <si>
    <t>F17_1</t>
  </si>
  <si>
    <t>F17_2</t>
  </si>
  <si>
    <t>F17_3</t>
  </si>
  <si>
    <t>F19_1</t>
  </si>
  <si>
    <t>F19_2</t>
  </si>
  <si>
    <t>F19_3</t>
  </si>
  <si>
    <t>F23_1</t>
  </si>
  <si>
    <t>F23_2</t>
  </si>
  <si>
    <t>F23_3</t>
  </si>
  <si>
    <t>F2_1</t>
  </si>
  <si>
    <t>F2_2</t>
  </si>
  <si>
    <t>Picea abies subsp. abies</t>
  </si>
  <si>
    <t>F2_3</t>
  </si>
  <si>
    <t>F3_2</t>
  </si>
  <si>
    <t>F3_3</t>
  </si>
  <si>
    <t>F1_2</t>
  </si>
  <si>
    <t>F1_3</t>
  </si>
  <si>
    <t>F24_1</t>
  </si>
  <si>
    <t>F22_1</t>
  </si>
  <si>
    <t>Quercus pubescens</t>
  </si>
  <si>
    <t>F22_2</t>
  </si>
  <si>
    <t>Crataegus laevigata</t>
  </si>
  <si>
    <t>Rosa sp.</t>
  </si>
  <si>
    <t>F22_3</t>
  </si>
  <si>
    <t>Malus sylvestris</t>
  </si>
  <si>
    <t>Prunus spinosa</t>
  </si>
  <si>
    <t>F20_1</t>
  </si>
  <si>
    <t>F20_2</t>
  </si>
  <si>
    <t>Prunus avium</t>
  </si>
  <si>
    <t>F20_3</t>
  </si>
  <si>
    <t>F21_1</t>
  </si>
  <si>
    <t>F21_2</t>
  </si>
  <si>
    <t>F21_3</t>
  </si>
  <si>
    <t>F25_1</t>
  </si>
  <si>
    <t>F25_2</t>
  </si>
  <si>
    <t>Castanea sativa</t>
  </si>
  <si>
    <t>F25_3</t>
  </si>
  <si>
    <t>Sorbus aria</t>
  </si>
  <si>
    <t>F27_1</t>
  </si>
  <si>
    <t>F27_2</t>
  </si>
  <si>
    <t>F27_3</t>
  </si>
  <si>
    <t>F26_1</t>
  </si>
  <si>
    <t>F26_2</t>
  </si>
  <si>
    <t>F26_3</t>
  </si>
  <si>
    <t>F35_1</t>
  </si>
  <si>
    <t>F35_2</t>
  </si>
  <si>
    <t>F35_3</t>
  </si>
  <si>
    <t>F29_1</t>
  </si>
  <si>
    <t>F29_2</t>
  </si>
  <si>
    <t>F29_3</t>
  </si>
  <si>
    <t>F34_1</t>
  </si>
  <si>
    <t>Acer campestre</t>
  </si>
  <si>
    <t>Sorbus torminalis</t>
  </si>
  <si>
    <t>Cornus mas</t>
  </si>
  <si>
    <t>F34_2</t>
  </si>
  <si>
    <t>Cornus sanginea</t>
  </si>
  <si>
    <t>F34_3</t>
  </si>
  <si>
    <t>F28_1</t>
  </si>
  <si>
    <t>F28_2</t>
  </si>
  <si>
    <t>F28_3</t>
  </si>
  <si>
    <t>F33_1</t>
  </si>
  <si>
    <t>F33_2</t>
  </si>
  <si>
    <t>F33_3</t>
  </si>
  <si>
    <t>F55_1</t>
  </si>
  <si>
    <t>F55_2</t>
  </si>
  <si>
    <t>F55_3</t>
  </si>
  <si>
    <t>F52_1</t>
  </si>
  <si>
    <t>F52_2</t>
  </si>
  <si>
    <t>F52_3</t>
  </si>
  <si>
    <t>F44_1</t>
  </si>
  <si>
    <t>F44_2</t>
  </si>
  <si>
    <t>F44_3</t>
  </si>
  <si>
    <t>F45_1</t>
  </si>
  <si>
    <t>F45_2</t>
  </si>
  <si>
    <t>F45_3</t>
  </si>
  <si>
    <t>Euonymus europaeus</t>
  </si>
  <si>
    <t>F49_1</t>
  </si>
  <si>
    <t>F49_2</t>
  </si>
  <si>
    <t>F49_3</t>
  </si>
  <si>
    <t>F51_1</t>
  </si>
  <si>
    <t>F51_2</t>
  </si>
  <si>
    <t>F51_3</t>
  </si>
  <si>
    <t>F54_1</t>
  </si>
  <si>
    <t>F54_2</t>
  </si>
  <si>
    <t>F54_3</t>
  </si>
  <si>
    <t>F46_1</t>
  </si>
  <si>
    <t>Pinus sylvestris</t>
  </si>
  <si>
    <t>F46_2</t>
  </si>
  <si>
    <t>F46_3</t>
  </si>
  <si>
    <t>F47_1</t>
  </si>
  <si>
    <t>F47_2</t>
  </si>
  <si>
    <t>F47_3</t>
  </si>
  <si>
    <t>F39_1</t>
  </si>
  <si>
    <t>F39_2</t>
  </si>
  <si>
    <t>F40_1</t>
  </si>
  <si>
    <t>F40_2</t>
  </si>
  <si>
    <t>F40_3</t>
  </si>
  <si>
    <t>F38_1</t>
  </si>
  <si>
    <t>F38_2</t>
  </si>
  <si>
    <t>F38_3</t>
  </si>
  <si>
    <t>F41_1</t>
  </si>
  <si>
    <t>F41_2</t>
  </si>
  <si>
    <t>Larix kaempferi</t>
  </si>
  <si>
    <t>F41_3</t>
  </si>
  <si>
    <t>F42_1</t>
  </si>
  <si>
    <t>Betula pubescens</t>
  </si>
  <si>
    <t>F42_2</t>
  </si>
  <si>
    <t>F42_3</t>
  </si>
  <si>
    <t>F56_1</t>
  </si>
  <si>
    <t>F56_2</t>
  </si>
  <si>
    <t>F56_3</t>
  </si>
  <si>
    <t>F32_1</t>
  </si>
  <si>
    <t>F32_2</t>
  </si>
  <si>
    <t>F32_3</t>
  </si>
  <si>
    <t>F31_1</t>
  </si>
  <si>
    <t>F31_2</t>
  </si>
  <si>
    <t>F31_3</t>
  </si>
  <si>
    <t>F30_1</t>
  </si>
  <si>
    <t>F30_2</t>
  </si>
  <si>
    <t>F30_3</t>
  </si>
  <si>
    <t>F37_1</t>
  </si>
  <si>
    <t>F37_2</t>
  </si>
  <si>
    <t>F37_3</t>
  </si>
  <si>
    <t>F63_1</t>
  </si>
  <si>
    <t>F63_2</t>
  </si>
  <si>
    <t>F63_3</t>
  </si>
  <si>
    <t>F48_1</t>
  </si>
  <si>
    <t>F48_2</t>
  </si>
  <si>
    <t>F48_3</t>
  </si>
  <si>
    <t>Calluna vulgaris</t>
  </si>
  <si>
    <t>F62_1</t>
  </si>
  <si>
    <t>F62_2</t>
  </si>
  <si>
    <t>F62_3</t>
  </si>
  <si>
    <t>F69_1</t>
  </si>
  <si>
    <t>F69_2</t>
  </si>
  <si>
    <t>F69_3</t>
  </si>
  <si>
    <t>F59_1</t>
  </si>
  <si>
    <t>F59_2</t>
  </si>
  <si>
    <t>F59_3</t>
  </si>
  <si>
    <t>F57_1</t>
  </si>
  <si>
    <t>F57_2</t>
  </si>
  <si>
    <t>F57_3</t>
  </si>
  <si>
    <t>F58_1</t>
  </si>
  <si>
    <t>F58_2</t>
  </si>
  <si>
    <t>F58_3</t>
  </si>
  <si>
    <t>F79_1</t>
  </si>
  <si>
    <t>F79_2</t>
  </si>
  <si>
    <t>F79_3</t>
  </si>
  <si>
    <t>F78_1</t>
  </si>
  <si>
    <t>F78_2</t>
  </si>
  <si>
    <t>F78_3</t>
  </si>
  <si>
    <t>F26bis_1</t>
  </si>
  <si>
    <t>F26bis_2</t>
  </si>
  <si>
    <t>F26bis_3</t>
  </si>
  <si>
    <t>F22bis_1</t>
  </si>
  <si>
    <t>F22bis_2</t>
  </si>
  <si>
    <t>F22bis_3</t>
  </si>
  <si>
    <t>F80_1</t>
  </si>
  <si>
    <t>F80_2</t>
  </si>
  <si>
    <t>F80_3</t>
  </si>
  <si>
    <t>F76_1</t>
  </si>
  <si>
    <t>F76_2</t>
  </si>
  <si>
    <t>F76_3</t>
  </si>
  <si>
    <t>F73_1</t>
  </si>
  <si>
    <t>F73_2</t>
  </si>
  <si>
    <t>F73_3</t>
  </si>
  <si>
    <t>F101_1</t>
  </si>
  <si>
    <t>Acer pseudoplatanus</t>
  </si>
  <si>
    <t>F101_2</t>
  </si>
  <si>
    <t>F101_3</t>
  </si>
  <si>
    <t>F100_1</t>
  </si>
  <si>
    <t>F100_2</t>
  </si>
  <si>
    <t>F100_3</t>
  </si>
  <si>
    <t>F99_1</t>
  </si>
  <si>
    <t>Juniperus communis subsp. communis</t>
  </si>
  <si>
    <t>F99_2</t>
  </si>
  <si>
    <t>Pinus nigra var. corsicana</t>
  </si>
  <si>
    <t>F99_3</t>
  </si>
  <si>
    <t>Pseudotsuga menziesii</t>
  </si>
  <si>
    <t>Erica cinerea</t>
  </si>
  <si>
    <t>F98_1</t>
  </si>
  <si>
    <t>F98_2</t>
  </si>
  <si>
    <t>F98_3</t>
  </si>
  <si>
    <t>F102_1</t>
  </si>
  <si>
    <t>F102_2</t>
  </si>
  <si>
    <t>F102_3</t>
  </si>
  <si>
    <t>F103_1</t>
  </si>
  <si>
    <t>F103_2</t>
  </si>
  <si>
    <t>F103_3</t>
  </si>
  <si>
    <t>F96_1</t>
  </si>
  <si>
    <t>F96_2</t>
  </si>
  <si>
    <t>F96_3</t>
  </si>
  <si>
    <t>F93_1</t>
  </si>
  <si>
    <t>F93_2</t>
  </si>
  <si>
    <t>F93_3</t>
  </si>
  <si>
    <t>F94_1</t>
  </si>
  <si>
    <t>F94_2</t>
  </si>
  <si>
    <t>F94_3</t>
  </si>
  <si>
    <t>F92_1</t>
  </si>
  <si>
    <t>F92_2</t>
  </si>
  <si>
    <t>F92_3</t>
  </si>
  <si>
    <t>F87_1</t>
  </si>
  <si>
    <t>F87_2</t>
  </si>
  <si>
    <t>F87_3</t>
  </si>
  <si>
    <t>F85_1</t>
  </si>
  <si>
    <t>F85_2</t>
  </si>
  <si>
    <t>F85_3</t>
  </si>
  <si>
    <t>F95_1</t>
  </si>
  <si>
    <t>Ribes nigra</t>
  </si>
  <si>
    <t>F95_2</t>
  </si>
  <si>
    <t>Viburnum opulus</t>
  </si>
  <si>
    <t>F95_3</t>
  </si>
  <si>
    <t>F60_1</t>
  </si>
  <si>
    <t>F60_2</t>
  </si>
  <si>
    <t>F60_3</t>
  </si>
  <si>
    <t>F61_1</t>
  </si>
  <si>
    <t>F61_2</t>
  </si>
  <si>
    <t>F61_3</t>
  </si>
  <si>
    <t>F81_1</t>
  </si>
  <si>
    <t>F81_2</t>
  </si>
  <si>
    <t>F81_3</t>
  </si>
  <si>
    <t>F75_1</t>
  </si>
  <si>
    <t>F75_2</t>
  </si>
  <si>
    <t>F75_3</t>
  </si>
  <si>
    <t>F84_1</t>
  </si>
  <si>
    <t>Daphne mezereum</t>
  </si>
  <si>
    <t>F84_2</t>
  </si>
  <si>
    <t>F84_3</t>
  </si>
  <si>
    <t>F86_1</t>
  </si>
  <si>
    <t>F86_2</t>
  </si>
  <si>
    <t>F86_3</t>
  </si>
  <si>
    <t>F83_1</t>
  </si>
  <si>
    <t>F83_2</t>
  </si>
  <si>
    <t>Sambucus nigra</t>
  </si>
  <si>
    <t>F83_3</t>
  </si>
  <si>
    <t>F74_1</t>
  </si>
  <si>
    <t>F74_2</t>
  </si>
  <si>
    <t>F74_3</t>
  </si>
  <si>
    <t>F50_1</t>
  </si>
  <si>
    <t>F50_2</t>
  </si>
  <si>
    <t>F50_3</t>
  </si>
  <si>
    <t>F66_1</t>
  </si>
  <si>
    <t>Pinus mugo</t>
  </si>
  <si>
    <t>F66_2</t>
  </si>
  <si>
    <t>F66_3</t>
  </si>
  <si>
    <t>F91_1</t>
  </si>
  <si>
    <t>F91_2</t>
  </si>
  <si>
    <t>F91_3</t>
  </si>
  <si>
    <t>F77_1</t>
  </si>
  <si>
    <t>F77_2</t>
  </si>
  <si>
    <t>F77_3</t>
  </si>
  <si>
    <t>F88_1</t>
  </si>
  <si>
    <t>F88_2</t>
  </si>
  <si>
    <t>F88_3</t>
  </si>
  <si>
    <t>F89_1</t>
  </si>
  <si>
    <t>F89_2</t>
  </si>
  <si>
    <t>F89_3</t>
  </si>
  <si>
    <t>F90_1</t>
  </si>
  <si>
    <t>F90_2</t>
  </si>
  <si>
    <t>F90_3</t>
  </si>
  <si>
    <t>F106_1</t>
  </si>
  <si>
    <t>F106_2</t>
  </si>
  <si>
    <t>F106_3</t>
  </si>
  <si>
    <t>F36_3</t>
  </si>
  <si>
    <t>F36bis_1</t>
  </si>
  <si>
    <t>F36bis_2</t>
  </si>
  <si>
    <t>F36bis_3</t>
  </si>
  <si>
    <t>F72_1</t>
  </si>
  <si>
    <t>F72_2</t>
  </si>
  <si>
    <t>Lonicera xylosteum</t>
  </si>
  <si>
    <t>F72_3</t>
  </si>
  <si>
    <t>F71_1</t>
  </si>
  <si>
    <t>F71_2</t>
  </si>
  <si>
    <t>F71_3</t>
  </si>
  <si>
    <t>F82_1</t>
  </si>
  <si>
    <t>F82_2</t>
  </si>
  <si>
    <t>F82_3</t>
  </si>
  <si>
    <t>F105_1</t>
  </si>
  <si>
    <t>F105_2</t>
  </si>
  <si>
    <t>F105_3</t>
  </si>
  <si>
    <t>Tilia platyphyllos</t>
  </si>
  <si>
    <t>Rhamnus cathartica</t>
  </si>
  <si>
    <t>F97_1</t>
  </si>
  <si>
    <t>F97_2</t>
  </si>
  <si>
    <t>F97_3</t>
  </si>
  <si>
    <t>F64_1</t>
  </si>
  <si>
    <t>F64_2</t>
  </si>
  <si>
    <t>F64_3</t>
  </si>
  <si>
    <t>F104_1</t>
  </si>
  <si>
    <t>F104_2</t>
  </si>
  <si>
    <t>F104_3</t>
  </si>
  <si>
    <t>F107bis_1</t>
  </si>
  <si>
    <t>F107bis_2</t>
  </si>
  <si>
    <t>F107bis_3</t>
  </si>
  <si>
    <t>F15_1</t>
  </si>
  <si>
    <t>F15_2</t>
  </si>
  <si>
    <t>F15_3</t>
  </si>
  <si>
    <t>F16_1</t>
  </si>
  <si>
    <t>F16_2</t>
  </si>
  <si>
    <t>F16_3</t>
  </si>
  <si>
    <t>F67_1</t>
  </si>
  <si>
    <t>F67_2</t>
  </si>
  <si>
    <t>Pinus mugo subsp. uncinata</t>
  </si>
  <si>
    <t>F67_3</t>
  </si>
  <si>
    <t>Abies alba A</t>
  </si>
  <si>
    <t>Abies alba a</t>
  </si>
  <si>
    <t>Abies alba h</t>
  </si>
  <si>
    <t>Acer campestre A</t>
  </si>
  <si>
    <t>Acer campestre a</t>
  </si>
  <si>
    <t>Acer campestre h</t>
  </si>
  <si>
    <t>Acer platanoides A</t>
  </si>
  <si>
    <t>Acer platanoides a</t>
  </si>
  <si>
    <t>Acer platanoides h</t>
  </si>
  <si>
    <t>Acer pseudoplatanus A</t>
  </si>
  <si>
    <t>Acer pseudoplatanus a</t>
  </si>
  <si>
    <t>Acer pseudoplatanus h</t>
  </si>
  <si>
    <t>Aconitum lycoctonum</t>
  </si>
  <si>
    <t>Agrostis capillaris</t>
  </si>
  <si>
    <t>Ajuga reptans</t>
  </si>
  <si>
    <t>Alliaria petiolata</t>
  </si>
  <si>
    <t>Allium ursinum</t>
  </si>
  <si>
    <t>Anemone nemorosa</t>
  </si>
  <si>
    <t>Arrhenatherum elatius</t>
  </si>
  <si>
    <t>Arum maculatum</t>
  </si>
  <si>
    <t>Asphodelus albus</t>
  </si>
  <si>
    <t>Asplenium adiantum-nigrum</t>
  </si>
  <si>
    <t>Asplenium trichomanes</t>
  </si>
  <si>
    <t>Athyrium filix-femina</t>
  </si>
  <si>
    <t>Blechnum spicant</t>
  </si>
  <si>
    <t>Brachypodium pinnatum</t>
  </si>
  <si>
    <t>Brachypodium sylvaticum</t>
  </si>
  <si>
    <t>Calystegia sepium</t>
  </si>
  <si>
    <t>Campanula trachelium</t>
  </si>
  <si>
    <t>Cardamine bulbifera</t>
  </si>
  <si>
    <t>Cardamine heptaphylla</t>
  </si>
  <si>
    <t>Cardamine impatiens</t>
  </si>
  <si>
    <t>Carex remota</t>
  </si>
  <si>
    <t>Carex sp</t>
  </si>
  <si>
    <t>Carex sylvatica</t>
  </si>
  <si>
    <t>Castanea sativa A</t>
  </si>
  <si>
    <t>Castanea sativa a</t>
  </si>
  <si>
    <t>Castanea sativa h</t>
  </si>
  <si>
    <t>Cerastium glomeratum</t>
  </si>
  <si>
    <t>Circaea lutetiana</t>
  </si>
  <si>
    <t>Conopodium majus</t>
  </si>
  <si>
    <t>Convallaria majalis</t>
  </si>
  <si>
    <t>Cornus mas h</t>
  </si>
  <si>
    <t>Corylus avellana a</t>
  </si>
  <si>
    <t>Corylus avellana h</t>
  </si>
  <si>
    <t>Crataegus monogyna a</t>
  </si>
  <si>
    <t>Crataegus monogyna h</t>
  </si>
  <si>
    <t>Cytisus scoparius a</t>
  </si>
  <si>
    <t>Cytisus scoparius h</t>
  </si>
  <si>
    <t>Dactylis glomerata</t>
  </si>
  <si>
    <t>Deschampsia cespitosa</t>
  </si>
  <si>
    <t>Dianthus deltoides</t>
  </si>
  <si>
    <t>Dianthus seguieri</t>
  </si>
  <si>
    <t>Digitalis purpurea</t>
  </si>
  <si>
    <t>Dioscorea communis</t>
  </si>
  <si>
    <t>Doronicum pardalianches</t>
  </si>
  <si>
    <t>Dryopteris carthusiana</t>
  </si>
  <si>
    <t>Dryopteris filix-mas</t>
  </si>
  <si>
    <t>Epilobium montanum</t>
  </si>
  <si>
    <t>Epipactis sp</t>
  </si>
  <si>
    <t>Equisetum sylvaticum</t>
  </si>
  <si>
    <t>Erythronium dens-canis</t>
  </si>
  <si>
    <t>Euphorbia amygdaloides</t>
  </si>
  <si>
    <t>Euphorbia hyberna</t>
  </si>
  <si>
    <t>Fagus sylvatica A</t>
  </si>
  <si>
    <t>Fagus sylvatica a</t>
  </si>
  <si>
    <t>Fagus sylvatica h</t>
  </si>
  <si>
    <t>Festuca heterophylla</t>
  </si>
  <si>
    <t>Festuca rubra</t>
  </si>
  <si>
    <t>Festuca sp</t>
  </si>
  <si>
    <t>Ficaria verna</t>
  </si>
  <si>
    <t>Fragaria sp</t>
  </si>
  <si>
    <t>Fragaria vesca</t>
  </si>
  <si>
    <t>Frangula alnus a</t>
  </si>
  <si>
    <t>Fraxinus excelsior A</t>
  </si>
  <si>
    <t>Fraxinus excelsior a</t>
  </si>
  <si>
    <t>Fraxinus excelsior h</t>
  </si>
  <si>
    <t>Galeopsis tetrahit</t>
  </si>
  <si>
    <t>Galium aparine</t>
  </si>
  <si>
    <t>Galium mollugo</t>
  </si>
  <si>
    <t>Galium odoratum</t>
  </si>
  <si>
    <t>Galium saxatile</t>
  </si>
  <si>
    <t>Geranium nodosum</t>
  </si>
  <si>
    <t>Geranium robertianum</t>
  </si>
  <si>
    <t>Geum urbanum</t>
  </si>
  <si>
    <t>Helleborus foetidus</t>
  </si>
  <si>
    <t>Hieracium sp</t>
  </si>
  <si>
    <t>Holcus mollis</t>
  </si>
  <si>
    <t>Hylotelephium maximum</t>
  </si>
  <si>
    <t>Hypericum pulchrum</t>
  </si>
  <si>
    <t>Ilex aquifolium a</t>
  </si>
  <si>
    <t>Ilex aquifolium h</t>
  </si>
  <si>
    <t>Isopyrum thalictroides</t>
  </si>
  <si>
    <t>Juniperus communis h</t>
  </si>
  <si>
    <t>Lactuca muralis</t>
  </si>
  <si>
    <t>Lamium galeobdolon</t>
  </si>
  <si>
    <t>Lapsana communis</t>
  </si>
  <si>
    <t>Larix kaempferi A</t>
  </si>
  <si>
    <t>Larix kaempferi a</t>
  </si>
  <si>
    <t>Lilium martagon</t>
  </si>
  <si>
    <t>Linaria repens</t>
  </si>
  <si>
    <t>Linaria vulgaris</t>
  </si>
  <si>
    <t>Lonicera periclymenum h</t>
  </si>
  <si>
    <t>Lonicera periclymenum a</t>
  </si>
  <si>
    <t>Lonicera xylosteum a</t>
  </si>
  <si>
    <t>Lonicera xylosteum h</t>
  </si>
  <si>
    <t>Luzula forsteri</t>
  </si>
  <si>
    <t>Luzula nivea</t>
  </si>
  <si>
    <t>Luzula pilosa</t>
  </si>
  <si>
    <t>Maianthemum bifolium</t>
  </si>
  <si>
    <t>Malus sylvestris h</t>
  </si>
  <si>
    <t>Malus sylvestris a</t>
  </si>
  <si>
    <t>Melittis melissophyllum</t>
  </si>
  <si>
    <t>Melica uniflora</t>
  </si>
  <si>
    <t>Mercurialis perennis</t>
  </si>
  <si>
    <t>Milium effusum</t>
  </si>
  <si>
    <t>Moehringia trinervia</t>
  </si>
  <si>
    <t>Narcissus pseudonarcissus</t>
  </si>
  <si>
    <t>Neottia nidus-avis</t>
  </si>
  <si>
    <t>Orchis mascula</t>
  </si>
  <si>
    <t>Oxalis acetosella</t>
  </si>
  <si>
    <t>Paris quadrifolia</t>
  </si>
  <si>
    <t>Phyteuma spicatum</t>
  </si>
  <si>
    <t>Picea abies A</t>
  </si>
  <si>
    <t>Picea abies a</t>
  </si>
  <si>
    <t>Picea abies h</t>
  </si>
  <si>
    <t>Pinus nigra var. corsicana A</t>
  </si>
  <si>
    <t>Pinus nigra var. corsicana a</t>
  </si>
  <si>
    <t>Pinus sylvestris A</t>
  </si>
  <si>
    <t>Pinus sylvestris a</t>
  </si>
  <si>
    <t>Pinus sylvestris h</t>
  </si>
  <si>
    <t>Poa sp</t>
  </si>
  <si>
    <t>Poa annua</t>
  </si>
  <si>
    <t>Poa chaixii</t>
  </si>
  <si>
    <t>Poa nemoralis</t>
  </si>
  <si>
    <t>Poa pratensis</t>
  </si>
  <si>
    <t>Poa trivialis</t>
  </si>
  <si>
    <t>Polygonatum multiflorum</t>
  </si>
  <si>
    <t>Polygonatum odoratum</t>
  </si>
  <si>
    <t>Polygonatum verticillatum</t>
  </si>
  <si>
    <t>Polypodium vulgare</t>
  </si>
  <si>
    <t>Polystichum setiferum</t>
  </si>
  <si>
    <t>Populus tremula</t>
  </si>
  <si>
    <t>Potentilla erecta</t>
  </si>
  <si>
    <t>Potentilla sp</t>
  </si>
  <si>
    <t>Prenanthes purpurea</t>
  </si>
  <si>
    <t>Primula veris</t>
  </si>
  <si>
    <t>Prunus avium A</t>
  </si>
  <si>
    <t>Prunus avium a</t>
  </si>
  <si>
    <t>Prunus avium h</t>
  </si>
  <si>
    <t>Prunus spinosa a</t>
  </si>
  <si>
    <t>Prunus spinosa h</t>
  </si>
  <si>
    <t>Pseudotsuga menzii A</t>
  </si>
  <si>
    <t>Pseudotsuga menzii a</t>
  </si>
  <si>
    <t>Pseudotsuga menzii h</t>
  </si>
  <si>
    <t>Pteridium aquilinum</t>
  </si>
  <si>
    <t>Pulmonaria obscura</t>
  </si>
  <si>
    <t>Pulmonaria sp</t>
  </si>
  <si>
    <t>Pyrus communis</t>
  </si>
  <si>
    <t>Quercus petraea A</t>
  </si>
  <si>
    <t>Quercus petraea a</t>
  </si>
  <si>
    <t>Quercus petraea h</t>
  </si>
  <si>
    <t>Quercus pubescens A</t>
  </si>
  <si>
    <t>Quercus pubescens a</t>
  </si>
  <si>
    <t>Quercus pubescens h</t>
  </si>
  <si>
    <t>Quercus robur h</t>
  </si>
  <si>
    <t>Quercus robur a</t>
  </si>
  <si>
    <t>Ranunculus lanuginosus</t>
  </si>
  <si>
    <t>Ribes alpinum h</t>
  </si>
  <si>
    <t>Ribes alpinum a</t>
  </si>
  <si>
    <t>Rosa arvensis a</t>
  </si>
  <si>
    <t>Rosa arvensis h</t>
  </si>
  <si>
    <t>Rosa canina h</t>
  </si>
  <si>
    <t>Rosa canina a</t>
  </si>
  <si>
    <t>Rubus fruticosus h</t>
  </si>
  <si>
    <t>Rubus fruticosus a</t>
  </si>
  <si>
    <t>Rumex acetosella</t>
  </si>
  <si>
    <t>Salix sp</t>
  </si>
  <si>
    <t>Scrophularia nodosa</t>
  </si>
  <si>
    <t>Senecio sylvaticus</t>
  </si>
  <si>
    <t>Silene dioica</t>
  </si>
  <si>
    <t>Silene vulgaris</t>
  </si>
  <si>
    <t>Solidago virgaurea</t>
  </si>
  <si>
    <t>Sorbus aria A</t>
  </si>
  <si>
    <t>Sorbus aria a</t>
  </si>
  <si>
    <t>Sorbus aria h</t>
  </si>
  <si>
    <t>Sorbus aucuparia A</t>
  </si>
  <si>
    <t>Sorbus aucuparia a</t>
  </si>
  <si>
    <t>Sorbus aucuparia h</t>
  </si>
  <si>
    <t xml:space="preserve">Sorbus torminalis a </t>
  </si>
  <si>
    <t>Sorbus torminalis h</t>
  </si>
  <si>
    <t>Stachys sylvatica</t>
  </si>
  <si>
    <t>Stellaria holostea</t>
  </si>
  <si>
    <t>Stellaria media</t>
  </si>
  <si>
    <t>Stellaria nemorum</t>
  </si>
  <si>
    <t>Taraxacum sp</t>
  </si>
  <si>
    <t>Teucrium scorodonia</t>
  </si>
  <si>
    <t>Tilia platyphyllos h</t>
  </si>
  <si>
    <t>Ulmus glabra a</t>
  </si>
  <si>
    <t>Ulmus glabra h</t>
  </si>
  <si>
    <t>Urtica dioica</t>
  </si>
  <si>
    <t>Valeriana officinalis</t>
  </si>
  <si>
    <t>Valeriana tripteris</t>
  </si>
  <si>
    <t>Veratrum album</t>
  </si>
  <si>
    <t>Veronica chamaedrys</t>
  </si>
  <si>
    <t>Veronica officinalis</t>
  </si>
  <si>
    <t>Viburnum opulus a</t>
  </si>
  <si>
    <t>Vicia sepium</t>
  </si>
  <si>
    <t>Vicia sylvatica</t>
  </si>
  <si>
    <t>Vincetoxicum hirundinaria</t>
  </si>
  <si>
    <t>Viola sp</t>
  </si>
  <si>
    <t>Classe</t>
  </si>
  <si>
    <t>Coefficient abondance-dominance</t>
  </si>
  <si>
    <t>Recouvrement</t>
  </si>
  <si>
    <t xml:space="preserve">0 &lt; R &lt; 1%  </t>
  </si>
  <si>
    <t xml:space="preserve">0 &lt; A &lt; 1%  </t>
  </si>
  <si>
    <t>r</t>
  </si>
  <si>
    <t>&lt;5%, très peu d'individus</t>
  </si>
  <si>
    <t xml:space="preserve">1 &lt; R &lt; 5% </t>
  </si>
  <si>
    <t xml:space="preserve">1 &lt; A &lt; 5% </t>
  </si>
  <si>
    <t>&lt;5%, peu d'individus</t>
  </si>
  <si>
    <t>5 &lt; R &lt; 20%</t>
  </si>
  <si>
    <t>5 &lt; A &lt; 20%</t>
  </si>
  <si>
    <t>&lt;5%, nombreux individus</t>
  </si>
  <si>
    <t>20 &lt; R &lt; 50%</t>
  </si>
  <si>
    <t>20 &lt; A &lt; 50%</t>
  </si>
  <si>
    <t>5 à 25%</t>
  </si>
  <si>
    <t xml:space="preserve">50 &lt; R &lt; 75% </t>
  </si>
  <si>
    <t xml:space="preserve">50 &lt; A &lt; 75% </t>
  </si>
  <si>
    <t xml:space="preserve">25 à 50% </t>
  </si>
  <si>
    <t>75 &lt; R &lt; 100%</t>
  </si>
  <si>
    <t>75 &lt; A &lt; 100%</t>
  </si>
  <si>
    <t>50 à 75%</t>
  </si>
  <si>
    <t>75 à 100%</t>
  </si>
  <si>
    <t>lib_cdref</t>
  </si>
  <si>
    <t>cd_ref</t>
  </si>
  <si>
    <t>lib_vern</t>
  </si>
  <si>
    <t>espar</t>
  </si>
  <si>
    <t>Sapin pectiné</t>
  </si>
  <si>
    <t>61</t>
  </si>
  <si>
    <t>Abies bornmuelleriana</t>
  </si>
  <si>
    <t>Sapin de Turquie</t>
  </si>
  <si>
    <t>70SB</t>
  </si>
  <si>
    <t>Abies cephalonica</t>
  </si>
  <si>
    <t>Sapin de Céphalonie</t>
  </si>
  <si>
    <t>70SC</t>
  </si>
  <si>
    <t>Abies cilicica</t>
  </si>
  <si>
    <t>Sapin de Cilicie</t>
  </si>
  <si>
    <t>68SI</t>
  </si>
  <si>
    <t>Abies concolor</t>
  </si>
  <si>
    <t>Sapin du Colorado</t>
  </si>
  <si>
    <t>68SC</t>
  </si>
  <si>
    <t>Abies grandis</t>
  </si>
  <si>
    <t>Sapin de Vancouver</t>
  </si>
  <si>
    <t>72V</t>
  </si>
  <si>
    <t>Abies nordmanniana</t>
  </si>
  <si>
    <t>Sapin de Nordmann</t>
  </si>
  <si>
    <t>71</t>
  </si>
  <si>
    <t>Abies pinsapo</t>
  </si>
  <si>
    <t>Sapin d'Andalousie</t>
  </si>
  <si>
    <t>70SE</t>
  </si>
  <si>
    <t>Abies procera</t>
  </si>
  <si>
    <t>Sapin noble</t>
  </si>
  <si>
    <t>72N</t>
  </si>
  <si>
    <t>Érable champêtre</t>
  </si>
  <si>
    <t>21C</t>
  </si>
  <si>
    <t>Acer monspessulanum</t>
  </si>
  <si>
    <t>Érable de Montpellier</t>
  </si>
  <si>
    <t>21M</t>
  </si>
  <si>
    <t>Acer negundo</t>
  </si>
  <si>
    <t>Érable negundo</t>
  </si>
  <si>
    <t>29EN</t>
  </si>
  <si>
    <t>Acer opalus subsp. opalus</t>
  </si>
  <si>
    <t>Érable à feuilles d'obier</t>
  </si>
  <si>
    <t>21O</t>
  </si>
  <si>
    <t>Érable plane</t>
  </si>
  <si>
    <t>15P</t>
  </si>
  <si>
    <t>Érable sycomore</t>
  </si>
  <si>
    <t>15S</t>
  </si>
  <si>
    <t>Aesculus hippocastanum</t>
  </si>
  <si>
    <t>Marronnier d'Inde</t>
  </si>
  <si>
    <t>29MA</t>
  </si>
  <si>
    <t>Ailanthus altissima</t>
  </si>
  <si>
    <t>Ailante</t>
  </si>
  <si>
    <t>29AI</t>
  </si>
  <si>
    <t>Alnus alnobetula subsp. alnobetula</t>
  </si>
  <si>
    <t>Aulne vert</t>
  </si>
  <si>
    <t>37</t>
  </si>
  <si>
    <t>Alnus cordata</t>
  </si>
  <si>
    <t>Aulne de Corse</t>
  </si>
  <si>
    <t>13C</t>
  </si>
  <si>
    <t>Alnus glutinosa</t>
  </si>
  <si>
    <t>Aulne glutineux</t>
  </si>
  <si>
    <t>13G</t>
  </si>
  <si>
    <t>Alnus incana subsp. incana</t>
  </si>
  <si>
    <t>Aulne blanc</t>
  </si>
  <si>
    <t>13B</t>
  </si>
  <si>
    <t>Arbutus unedo</t>
  </si>
  <si>
    <t>Arbousier</t>
  </si>
  <si>
    <t>40</t>
  </si>
  <si>
    <t>Betula pendula</t>
  </si>
  <si>
    <t>Bouleau verruqueux</t>
  </si>
  <si>
    <t>12V</t>
  </si>
  <si>
    <t>Bouleau pubescent</t>
  </si>
  <si>
    <t>12P</t>
  </si>
  <si>
    <t>Broussonetia papyrifera</t>
  </si>
  <si>
    <t>Mûrier de Chine</t>
  </si>
  <si>
    <t>49MC</t>
  </si>
  <si>
    <t>Buxus sempervirens</t>
  </si>
  <si>
    <t>Buis</t>
  </si>
  <si>
    <t>49BS</t>
  </si>
  <si>
    <t>Callune</t>
  </si>
  <si>
    <t>Carpinus betulus</t>
  </si>
  <si>
    <t>Charme</t>
  </si>
  <si>
    <t>11</t>
  </si>
  <si>
    <t>Châtaignier</t>
  </si>
  <si>
    <t>10</t>
  </si>
  <si>
    <t>Casuarina cunninghamiana</t>
  </si>
  <si>
    <t>Filao</t>
  </si>
  <si>
    <t>29FI</t>
  </si>
  <si>
    <t>Catalpa bignonioides</t>
  </si>
  <si>
    <t>Catalpa</t>
  </si>
  <si>
    <t>29CT</t>
  </si>
  <si>
    <t>Cedrus atlantica</t>
  </si>
  <si>
    <t>Cèdre de l'Atlas</t>
  </si>
  <si>
    <t>65</t>
  </si>
  <si>
    <t>Cedrus deodara</t>
  </si>
  <si>
    <t>Cèdre de l'Himalaya</t>
  </si>
  <si>
    <t>68CH</t>
  </si>
  <si>
    <t>Cedrus libani</t>
  </si>
  <si>
    <t>Cèdre du Liban</t>
  </si>
  <si>
    <t>76</t>
  </si>
  <si>
    <t>Cedrus libani var. brevifolia</t>
  </si>
  <si>
    <t>Cèdre de Chypre</t>
  </si>
  <si>
    <t>68CB</t>
  </si>
  <si>
    <t>Celtis australis</t>
  </si>
  <si>
    <t>Micocoulier</t>
  </si>
  <si>
    <t>16</t>
  </si>
  <si>
    <t>Ceratonia siliqua</t>
  </si>
  <si>
    <t>Caroubier</t>
  </si>
  <si>
    <t>29CA</t>
  </si>
  <si>
    <t>Cercis siliquastrum</t>
  </si>
  <si>
    <t>Arbre de Judée</t>
  </si>
  <si>
    <t>49CS</t>
  </si>
  <si>
    <t>Chamaecyparis lawsoniana</t>
  </si>
  <si>
    <t>Cyprès de Lawson</t>
  </si>
  <si>
    <t>68CL</t>
  </si>
  <si>
    <t>Citrus aurantium</t>
  </si>
  <si>
    <t>Oranger</t>
  </si>
  <si>
    <t>49CA</t>
  </si>
  <si>
    <t>Citrus medica</t>
  </si>
  <si>
    <t>Cédratier</t>
  </si>
  <si>
    <t>49CM</t>
  </si>
  <si>
    <t>Citrus reticulata</t>
  </si>
  <si>
    <t>Mandarinier</t>
  </si>
  <si>
    <t>49CN</t>
  </si>
  <si>
    <t>Cornouiller mâle</t>
  </si>
  <si>
    <t>39</t>
  </si>
  <si>
    <t>Cornouiller sanguin</t>
  </si>
  <si>
    <t>Noisetier coudrier</t>
  </si>
  <si>
    <t>31</t>
  </si>
  <si>
    <t>Crataegus azarolus</t>
  </si>
  <si>
    <t>Aubépine azérolier</t>
  </si>
  <si>
    <t>49AA</t>
  </si>
  <si>
    <t>Aubépine épineuse</t>
  </si>
  <si>
    <t>49AE</t>
  </si>
  <si>
    <t>Aubépine monogyne</t>
  </si>
  <si>
    <t>49AM</t>
  </si>
  <si>
    <t>Cryptomeria japonica</t>
  </si>
  <si>
    <t>Cryptomère du Japon</t>
  </si>
  <si>
    <t>68CJ</t>
  </si>
  <si>
    <t>Cupressus arizonica</t>
  </si>
  <si>
    <t>Cyprès de l'Arizona</t>
  </si>
  <si>
    <t>68CA</t>
  </si>
  <si>
    <t>Cupressus macrocarpa</t>
  </si>
  <si>
    <t>Cyprès de Lambert</t>
  </si>
  <si>
    <t>68CM</t>
  </si>
  <si>
    <t>Cupressus sempervirens</t>
  </si>
  <si>
    <t>Cyprès de Provence</t>
  </si>
  <si>
    <t>66</t>
  </si>
  <si>
    <t>Cydonia oblonga</t>
  </si>
  <si>
    <t>Cognassier</t>
  </si>
  <si>
    <t>49C</t>
  </si>
  <si>
    <t>Genêt à balais</t>
  </si>
  <si>
    <t>Bois-joli</t>
  </si>
  <si>
    <t>Diospyros kaki</t>
  </si>
  <si>
    <t>Kaki</t>
  </si>
  <si>
    <t>49KK</t>
  </si>
  <si>
    <t>Diospyros lotus</t>
  </si>
  <si>
    <t>Plaqueminier</t>
  </si>
  <si>
    <t>29PL</t>
  </si>
  <si>
    <t>Elaeagnus angustifolia</t>
  </si>
  <si>
    <t>Olivier de Bohême</t>
  </si>
  <si>
    <t>49OB</t>
  </si>
  <si>
    <t>Erica arborea</t>
  </si>
  <si>
    <t>Bruyère arborescente</t>
  </si>
  <si>
    <t>49EA</t>
  </si>
  <si>
    <t>Bruyère cendrée</t>
  </si>
  <si>
    <t>Eucalyptus</t>
  </si>
  <si>
    <t>Eucalyptus (genre)</t>
  </si>
  <si>
    <t>36</t>
  </si>
  <si>
    <t>Fusain d'Europe</t>
  </si>
  <si>
    <t>49EV</t>
  </si>
  <si>
    <t>Hêtre</t>
  </si>
  <si>
    <t>9</t>
  </si>
  <si>
    <t>Ficus carica</t>
  </si>
  <si>
    <t>Figuier de Carie</t>
  </si>
  <si>
    <t>23F</t>
  </si>
  <si>
    <t>Frangula alnus subsp. alnus</t>
  </si>
  <si>
    <t>Bourdaine</t>
  </si>
  <si>
    <t>49BO</t>
  </si>
  <si>
    <t>Fraxinus americana</t>
  </si>
  <si>
    <t>Frêne d'Amérique</t>
  </si>
  <si>
    <t>29FA</t>
  </si>
  <si>
    <t>Fraxinus angustifolia subsp. angustifolia</t>
  </si>
  <si>
    <t>Frêne oxyphylle</t>
  </si>
  <si>
    <t>17O</t>
  </si>
  <si>
    <t>Frêne commun</t>
  </si>
  <si>
    <t>17C</t>
  </si>
  <si>
    <t>Fraxinus ornus subsp. ornus</t>
  </si>
  <si>
    <t>Frêne à fleur</t>
  </si>
  <si>
    <t>17F</t>
  </si>
  <si>
    <t>Lierre grimpant</t>
  </si>
  <si>
    <t>Houx</t>
  </si>
  <si>
    <t>49IA</t>
  </si>
  <si>
    <t>Juglans nigra</t>
  </si>
  <si>
    <t>Noyer noir</t>
  </si>
  <si>
    <t>27N</t>
  </si>
  <si>
    <t>Juglans regia</t>
  </si>
  <si>
    <t>Noyer commun</t>
  </si>
  <si>
    <t>27C</t>
  </si>
  <si>
    <t>Genévrier commun</t>
  </si>
  <si>
    <t>69JC</t>
  </si>
  <si>
    <t>Juniperus oxycedrus subsp. oxycedrus</t>
  </si>
  <si>
    <t>Genévrier oxycèdre</t>
  </si>
  <si>
    <t>69JO</t>
  </si>
  <si>
    <t>Juniperus thurifera</t>
  </si>
  <si>
    <t>Genévrier thurifère</t>
  </si>
  <si>
    <t>69</t>
  </si>
  <si>
    <t>Laburnum alpinum</t>
  </si>
  <si>
    <t>Cytise des alpes</t>
  </si>
  <si>
    <t>38AL</t>
  </si>
  <si>
    <t>Laburnum anagyroides</t>
  </si>
  <si>
    <t>Cytise aubour</t>
  </si>
  <si>
    <t>38AU</t>
  </si>
  <si>
    <t>Larix decidua subsp. decidua</t>
  </si>
  <si>
    <t>Mélèze d'Europe</t>
  </si>
  <si>
    <t>63</t>
  </si>
  <si>
    <t>Mélèze du Japon</t>
  </si>
  <si>
    <t>74J</t>
  </si>
  <si>
    <t>Larix x marschlinsii</t>
  </si>
  <si>
    <t>Mélèze hybride</t>
  </si>
  <si>
    <t>74H</t>
  </si>
  <si>
    <t>Laurus nobilis</t>
  </si>
  <si>
    <t>Laurier noble</t>
  </si>
  <si>
    <t>49LN</t>
  </si>
  <si>
    <t>Liquidambar styraciflua</t>
  </si>
  <si>
    <t>Liquidambar</t>
  </si>
  <si>
    <t>29LI</t>
  </si>
  <si>
    <t>Liriodendron tulipifera</t>
  </si>
  <si>
    <t>Tulipier de Virginie</t>
  </si>
  <si>
    <t>42</t>
  </si>
  <si>
    <t>Chèvrefeuille des bois</t>
  </si>
  <si>
    <t>Camérisier à balais</t>
  </si>
  <si>
    <t>Maclura pomifera</t>
  </si>
  <si>
    <t>Oranger des Osages</t>
  </si>
  <si>
    <t>49OO</t>
  </si>
  <si>
    <t>Pommier sauvage</t>
  </si>
  <si>
    <t>23PM</t>
  </si>
  <si>
    <t>Morus alba</t>
  </si>
  <si>
    <t>Mûrier blanc</t>
  </si>
  <si>
    <t>49MB</t>
  </si>
  <si>
    <t>Morus nigra</t>
  </si>
  <si>
    <t>Mûrier noir</t>
  </si>
  <si>
    <t>49MN</t>
  </si>
  <si>
    <t>Olea europaea var. sylvestris</t>
  </si>
  <si>
    <t>Olivier d'Europe</t>
  </si>
  <si>
    <t>28</t>
  </si>
  <si>
    <t>Ostrya carpinifolia</t>
  </si>
  <si>
    <t>Charme houblon</t>
  </si>
  <si>
    <t>32</t>
  </si>
  <si>
    <t>Paulownia tomentosa</t>
  </si>
  <si>
    <t>Paulownia</t>
  </si>
  <si>
    <t>29PT</t>
  </si>
  <si>
    <t>Phillyrea angustifolia</t>
  </si>
  <si>
    <t>Filaire à feuilles étroites</t>
  </si>
  <si>
    <t>49FA</t>
  </si>
  <si>
    <t>Phillyrea latifolia</t>
  </si>
  <si>
    <t>Filaire à feuilles larges</t>
  </si>
  <si>
    <t>49FL</t>
  </si>
  <si>
    <t>Épicéa commun</t>
  </si>
  <si>
    <t>62</t>
  </si>
  <si>
    <t>Picea omorika</t>
  </si>
  <si>
    <t>Épicéa omorika</t>
  </si>
  <si>
    <t>68EO</t>
  </si>
  <si>
    <t>Picea sitchensis</t>
  </si>
  <si>
    <t>Épicéa de Sitka</t>
  </si>
  <si>
    <t>73</t>
  </si>
  <si>
    <t>Pinus brutia</t>
  </si>
  <si>
    <t>Pin brutia (ou) eldarica</t>
  </si>
  <si>
    <t>57B</t>
  </si>
  <si>
    <t>Pinus cembra</t>
  </si>
  <si>
    <t>Pin cembro</t>
  </si>
  <si>
    <t>59</t>
  </si>
  <si>
    <t>Pinus contorta</t>
  </si>
  <si>
    <t>Pin de Murray</t>
  </si>
  <si>
    <t>68PC</t>
  </si>
  <si>
    <t>Pinus halepensis</t>
  </si>
  <si>
    <t>Pin d'Alep</t>
  </si>
  <si>
    <t>57A</t>
  </si>
  <si>
    <t>Pin mugo</t>
  </si>
  <si>
    <t>60</t>
  </si>
  <si>
    <t>Pin à crochets</t>
  </si>
  <si>
    <t>58</t>
  </si>
  <si>
    <t>Pinus nigra subsp. nigra</t>
  </si>
  <si>
    <t>Pin noir d'Autriche</t>
  </si>
  <si>
    <t>54</t>
  </si>
  <si>
    <t>Pinus nigra subsp. salzmannii</t>
  </si>
  <si>
    <t>Pin de Salzmann</t>
  </si>
  <si>
    <t>53S</t>
  </si>
  <si>
    <t>Pinus nigra var. calabrica</t>
  </si>
  <si>
    <t>Pin laricio de Calabre</t>
  </si>
  <si>
    <t>53CA</t>
  </si>
  <si>
    <t>Pin laricio de Corse</t>
  </si>
  <si>
    <t>53CO</t>
  </si>
  <si>
    <t>Pinus pinaster subsp. pinaster</t>
  </si>
  <si>
    <t>Pin maritime</t>
  </si>
  <si>
    <t>51</t>
  </si>
  <si>
    <t>Pinus pinea</t>
  </si>
  <si>
    <t>Pin parasol</t>
  </si>
  <si>
    <t>55</t>
  </si>
  <si>
    <t>Pinus radiata</t>
  </si>
  <si>
    <t>Pin de Monterey</t>
  </si>
  <si>
    <t>68PM</t>
  </si>
  <si>
    <t>Pinus strobus</t>
  </si>
  <si>
    <t>Pin Weymouth</t>
  </si>
  <si>
    <t>56</t>
  </si>
  <si>
    <t>Pin sylvestre</t>
  </si>
  <si>
    <t>52</t>
  </si>
  <si>
    <t>Pinus taeda</t>
  </si>
  <si>
    <t>Pin à l'encens et hybrides</t>
  </si>
  <si>
    <t>77</t>
  </si>
  <si>
    <t>Pistacia lentiscus</t>
  </si>
  <si>
    <t>Pistachier lentisque</t>
  </si>
  <si>
    <t>49PL</t>
  </si>
  <si>
    <t>Pistacia terebinthus</t>
  </si>
  <si>
    <t>Pistachier térébinthe</t>
  </si>
  <si>
    <t>49PT</t>
  </si>
  <si>
    <t>Pistacia vera</t>
  </si>
  <si>
    <t>Pistachier vrai</t>
  </si>
  <si>
    <t>29PV</t>
  </si>
  <si>
    <t>Platanus occidentalis</t>
  </si>
  <si>
    <t>Platane d'Occident</t>
  </si>
  <si>
    <t>26OC</t>
  </si>
  <si>
    <t>Platanus orientalis</t>
  </si>
  <si>
    <t>Platane d'Orient</t>
  </si>
  <si>
    <t>26OR</t>
  </si>
  <si>
    <t>Platanus x hispanica</t>
  </si>
  <si>
    <t>Platane à feuilles d'érable</t>
  </si>
  <si>
    <t>26E</t>
  </si>
  <si>
    <t>Populus</t>
  </si>
  <si>
    <t>Peuplier cultivé</t>
  </si>
  <si>
    <t>19</t>
  </si>
  <si>
    <t>Populus alba</t>
  </si>
  <si>
    <t>Peuplier blanc</t>
  </si>
  <si>
    <t>33B</t>
  </si>
  <si>
    <t>Populus nigra subsp. betulifolia</t>
  </si>
  <si>
    <t>Peuplier noir</t>
  </si>
  <si>
    <t>33N</t>
  </si>
  <si>
    <t>Tremble</t>
  </si>
  <si>
    <t>24</t>
  </si>
  <si>
    <t>Populus x canescens</t>
  </si>
  <si>
    <t>Peuplier grisard</t>
  </si>
  <si>
    <t>33G</t>
  </si>
  <si>
    <t>Prunus armeniaca</t>
  </si>
  <si>
    <t>Abricotier</t>
  </si>
  <si>
    <t>49PA</t>
  </si>
  <si>
    <t>Merisier</t>
  </si>
  <si>
    <t>22M</t>
  </si>
  <si>
    <t>Prunus brigantina</t>
  </si>
  <si>
    <t>Prunier de Briançon</t>
  </si>
  <si>
    <t>49PB</t>
  </si>
  <si>
    <t>Prunus cerasifera</t>
  </si>
  <si>
    <t>Prune-cerise</t>
  </si>
  <si>
    <t>49PC</t>
  </si>
  <si>
    <t>Prunus cerasus</t>
  </si>
  <si>
    <t>Cerisier</t>
  </si>
  <si>
    <t>22C</t>
  </si>
  <si>
    <t>Prunus domestica</t>
  </si>
  <si>
    <t>Prunier domestique</t>
  </si>
  <si>
    <t>23PD</t>
  </si>
  <si>
    <t>Prunus dulcis</t>
  </si>
  <si>
    <t>Amandier</t>
  </si>
  <si>
    <t>23A</t>
  </si>
  <si>
    <t>Prunus laurocerasus</t>
  </si>
  <si>
    <t>Laurier-cerise</t>
  </si>
  <si>
    <t>Prunus mahaleb</t>
  </si>
  <si>
    <t>Cerisier de Sainte Lucie</t>
  </si>
  <si>
    <t>49PM</t>
  </si>
  <si>
    <t>Prunus padus var. padus</t>
  </si>
  <si>
    <t>Cerisier à grappes</t>
  </si>
  <si>
    <t>22G</t>
  </si>
  <si>
    <t>Prunus serotina</t>
  </si>
  <si>
    <t>Cerisier tardif</t>
  </si>
  <si>
    <t>22S</t>
  </si>
  <si>
    <t>Prunelier</t>
  </si>
  <si>
    <t>49PS</t>
  </si>
  <si>
    <t>Douglas</t>
  </si>
  <si>
    <t>64</t>
  </si>
  <si>
    <t>Pyrus communis subsp. pyraster</t>
  </si>
  <si>
    <t>Poirier commun</t>
  </si>
  <si>
    <t>23PC</t>
  </si>
  <si>
    <t>Pyrus cordata</t>
  </si>
  <si>
    <t>Poirier à feuilles en cur</t>
  </si>
  <si>
    <t>23PF</t>
  </si>
  <si>
    <t>Pyrus nivalis</t>
  </si>
  <si>
    <t>Poirier neigeux</t>
  </si>
  <si>
    <t>49PN</t>
  </si>
  <si>
    <t>Pyrus spinosa</t>
  </si>
  <si>
    <t>Poirier à feuilles d'amandier</t>
  </si>
  <si>
    <t>23PA</t>
  </si>
  <si>
    <t>Quercus cerris</t>
  </si>
  <si>
    <t>Chêne chevelu</t>
  </si>
  <si>
    <t>34</t>
  </si>
  <si>
    <t>Quercus coccinea</t>
  </si>
  <si>
    <t>Chêne écarlate</t>
  </si>
  <si>
    <t>29CE</t>
  </si>
  <si>
    <t>Quercus crenata</t>
  </si>
  <si>
    <t>Chêne faux-liège</t>
  </si>
  <si>
    <t>08P</t>
  </si>
  <si>
    <t>Quercus ilex</t>
  </si>
  <si>
    <t>Chêne vert</t>
  </si>
  <si>
    <t>6</t>
  </si>
  <si>
    <t>Quercus palustris</t>
  </si>
  <si>
    <t>Chêne des marais</t>
  </si>
  <si>
    <t>29CM</t>
  </si>
  <si>
    <t>Quercus petraea subsp. petraea</t>
  </si>
  <si>
    <t>Chêne sessile</t>
  </si>
  <si>
    <t>3</t>
  </si>
  <si>
    <t>Chêne pubescent</t>
  </si>
  <si>
    <t>5</t>
  </si>
  <si>
    <t>Quercus pyrenaica</t>
  </si>
  <si>
    <t>Chêne tauzin</t>
  </si>
  <si>
    <t>7</t>
  </si>
  <si>
    <t>Quercus robur var. robur</t>
  </si>
  <si>
    <t>Chêne pédonculé</t>
  </si>
  <si>
    <t>2</t>
  </si>
  <si>
    <t>Quercus rubra</t>
  </si>
  <si>
    <t>Chêne rouge</t>
  </si>
  <si>
    <t>4</t>
  </si>
  <si>
    <t>Quercus suber</t>
  </si>
  <si>
    <t>Chêne-liège</t>
  </si>
  <si>
    <t>08S</t>
  </si>
  <si>
    <t>Rhamnus alaternus</t>
  </si>
  <si>
    <t>Nerprun alaterne</t>
  </si>
  <si>
    <t>49RA</t>
  </si>
  <si>
    <t>Rhamnus alpina</t>
  </si>
  <si>
    <t>Nerprun des Alpes</t>
  </si>
  <si>
    <t>49RP</t>
  </si>
  <si>
    <t>Nerprun purgatif</t>
  </si>
  <si>
    <t>49RC</t>
  </si>
  <si>
    <t>Rhus typhina</t>
  </si>
  <si>
    <t>Sumac de Virginie</t>
  </si>
  <si>
    <t>49RT</t>
  </si>
  <si>
    <t>Rhus vernicifera</t>
  </si>
  <si>
    <t>Vernis vrai</t>
  </si>
  <si>
    <t>49VV</t>
  </si>
  <si>
    <t>Groseillier des Alpes</t>
  </si>
  <si>
    <t>Robinia pseudoacacia</t>
  </si>
  <si>
    <t>Robinier faux acacia</t>
  </si>
  <si>
    <t>14</t>
  </si>
  <si>
    <t>Rosa arvensis</t>
  </si>
  <si>
    <t>Rosier des champs</t>
  </si>
  <si>
    <t>Rosa canina</t>
  </si>
  <si>
    <t>Rosier des chiens</t>
  </si>
  <si>
    <t>Ronce commune</t>
  </si>
  <si>
    <t>Framboisier</t>
  </si>
  <si>
    <t>Salix alba</t>
  </si>
  <si>
    <t>Saule blanc</t>
  </si>
  <si>
    <t>25B</t>
  </si>
  <si>
    <t>Salix atrocinerea</t>
  </si>
  <si>
    <t>Saule roux</t>
  </si>
  <si>
    <t>25R</t>
  </si>
  <si>
    <t>Salix caprea</t>
  </si>
  <si>
    <t>Saule marsault</t>
  </si>
  <si>
    <t>25M</t>
  </si>
  <si>
    <t>Salix cinerea</t>
  </si>
  <si>
    <t>Saule cendré</t>
  </si>
  <si>
    <t>25C</t>
  </si>
  <si>
    <t>Salix daphnoides</t>
  </si>
  <si>
    <t>Saule faux daphné</t>
  </si>
  <si>
    <t>25FD</t>
  </si>
  <si>
    <t>Salix eleagnos subsp. eleagnos</t>
  </si>
  <si>
    <t>Saule drapé</t>
  </si>
  <si>
    <t>25D</t>
  </si>
  <si>
    <t>Salix fragilis</t>
  </si>
  <si>
    <t>Saule cassant</t>
  </si>
  <si>
    <t>25FR</t>
  </si>
  <si>
    <t>Salix pedicellata</t>
  </si>
  <si>
    <t>Saule pédicellé</t>
  </si>
  <si>
    <t>25P</t>
  </si>
  <si>
    <t>Salix pentandra</t>
  </si>
  <si>
    <t>Saule à cinq étamines</t>
  </si>
  <si>
    <t>2500000</t>
  </si>
  <si>
    <t>Salix triandra</t>
  </si>
  <si>
    <t>Saule à trois étamines</t>
  </si>
  <si>
    <t>25000</t>
  </si>
  <si>
    <t>Salix viminalis</t>
  </si>
  <si>
    <t>Saule des vanniers</t>
  </si>
  <si>
    <t>25V</t>
  </si>
  <si>
    <t>Salix x rubens</t>
  </si>
  <si>
    <t>Saule rouge</t>
  </si>
  <si>
    <t>25XR</t>
  </si>
  <si>
    <t>Sureau noir</t>
  </si>
  <si>
    <t>49SN</t>
  </si>
  <si>
    <t>Sambucus racemosa subsp. racemosa</t>
  </si>
  <si>
    <t>Sureau rouge</t>
  </si>
  <si>
    <t>49SR</t>
  </si>
  <si>
    <t>Sequoia sempervirens</t>
  </si>
  <si>
    <t>Séquoia toujours vert</t>
  </si>
  <si>
    <t>68SV</t>
  </si>
  <si>
    <t>Sequoiadendron giganteum</t>
  </si>
  <si>
    <t>Séquoia géant</t>
  </si>
  <si>
    <t>68SG</t>
  </si>
  <si>
    <t>Alisier blanc</t>
  </si>
  <si>
    <t>23AB</t>
  </si>
  <si>
    <t>Sorbus aucuparia subsp. aucuparia</t>
  </si>
  <si>
    <t>Sorbier des oiseleurs</t>
  </si>
  <si>
    <t>23SO</t>
  </si>
  <si>
    <t>Sorbus domestica</t>
  </si>
  <si>
    <t>Cormier</t>
  </si>
  <si>
    <t>23C</t>
  </si>
  <si>
    <t>Sorbus intermedia</t>
  </si>
  <si>
    <t>Sorbier de Suède</t>
  </si>
  <si>
    <t>23SS</t>
  </si>
  <si>
    <t>Sorbus latifolia</t>
  </si>
  <si>
    <t>Alisier de Fontainebleau</t>
  </si>
  <si>
    <t>23AF</t>
  </si>
  <si>
    <t>Sorbus legrei</t>
  </si>
  <si>
    <t>Sorbier de Finlande</t>
  </si>
  <si>
    <t>23SF</t>
  </si>
  <si>
    <t>Sorbus mougeotii</t>
  </si>
  <si>
    <t>Alisier de Mougeot</t>
  </si>
  <si>
    <t>23AM</t>
  </si>
  <si>
    <t>Alisier torminal</t>
  </si>
  <si>
    <t>Tamarix africana</t>
  </si>
  <si>
    <t>Tamaris d'Afrique</t>
  </si>
  <si>
    <t>49TF</t>
  </si>
  <si>
    <t>Tamarix gallica</t>
  </si>
  <si>
    <t>Tamaris de France</t>
  </si>
  <si>
    <t>49TG</t>
  </si>
  <si>
    <t>49TA</t>
  </si>
  <si>
    <t>Taxodium distichum</t>
  </si>
  <si>
    <t>Cyprès chauve</t>
  </si>
  <si>
    <t>68CC</t>
  </si>
  <si>
    <t>Taxus baccata</t>
  </si>
  <si>
    <t>If</t>
  </si>
  <si>
    <t>67</t>
  </si>
  <si>
    <t>Thuja occidentalis</t>
  </si>
  <si>
    <t>Thuya du Canada</t>
  </si>
  <si>
    <t>68TC</t>
  </si>
  <si>
    <t>Thuja plicata</t>
  </si>
  <si>
    <t>Thuya géant</t>
  </si>
  <si>
    <t>68TG</t>
  </si>
  <si>
    <t>Tilia americana</t>
  </si>
  <si>
    <t>Tilleul d'Amérique du Nord</t>
  </si>
  <si>
    <t>29TA</t>
  </si>
  <si>
    <t>Tilia cordata</t>
  </si>
  <si>
    <t>Tilleul à petites feuilles</t>
  </si>
  <si>
    <t>20P</t>
  </si>
  <si>
    <t>Tilia platyphyllos subsp. platyphyllos</t>
  </si>
  <si>
    <t>Tilleul à grandes feuilles</t>
  </si>
  <si>
    <t>20G</t>
  </si>
  <si>
    <t>Tilia tomentosa</t>
  </si>
  <si>
    <t>Tilleul argenté</t>
  </si>
  <si>
    <t>29TT</t>
  </si>
  <si>
    <t>Tilia x euchlora</t>
  </si>
  <si>
    <t>Tilleul vert</t>
  </si>
  <si>
    <t>29TX</t>
  </si>
  <si>
    <t>Tilia x europaea</t>
  </si>
  <si>
    <t>Tilleul de Hollande</t>
  </si>
  <si>
    <t>20X</t>
  </si>
  <si>
    <t>Tsuga canadensis</t>
  </si>
  <si>
    <t>Tsuga du Canada</t>
  </si>
  <si>
    <t>68TS</t>
  </si>
  <si>
    <t>Tsuga heterophylla</t>
  </si>
  <si>
    <t>68TH</t>
  </si>
  <si>
    <t>Ulmus glabra f. glabra</t>
  </si>
  <si>
    <t>Orme de montagne</t>
  </si>
  <si>
    <t>18M</t>
  </si>
  <si>
    <t>Ulmus laevis</t>
  </si>
  <si>
    <t>Orme lisse</t>
  </si>
  <si>
    <t>18D</t>
  </si>
  <si>
    <t>Ulmus minor</t>
  </si>
  <si>
    <t>Orme champêtre</t>
  </si>
  <si>
    <t>18C</t>
  </si>
  <si>
    <t>Vachellia farnesiana</t>
  </si>
  <si>
    <t>Mimosa</t>
  </si>
  <si>
    <t>29MI</t>
  </si>
  <si>
    <t>Myrtille</t>
  </si>
  <si>
    <t>Code</t>
  </si>
  <si>
    <t>Libellé</t>
  </si>
  <si>
    <t>Peuplement</t>
  </si>
  <si>
    <t>Catégorie de peuplement</t>
  </si>
  <si>
    <t>Taillis</t>
  </si>
  <si>
    <t>Hêtraie / Hêtraie-sapinière montagnarde</t>
  </si>
  <si>
    <t>Mélange taillis-futaie</t>
  </si>
  <si>
    <t>Chêne</t>
  </si>
  <si>
    <t xml:space="preserve">Peuplements de feuillus mixtes (chênaie / hêtraie à mélange de frêne et de chataîgnier) des vallées et versants </t>
  </si>
  <si>
    <t>Futaie irrégulière</t>
  </si>
  <si>
    <t>Peuplements d'autres conifères (pin sylvestre, épicéa, mélèze)</t>
  </si>
  <si>
    <t>Futaie régulière</t>
  </si>
  <si>
    <t>Mélange de feuillus</t>
  </si>
  <si>
    <t>Autres</t>
  </si>
  <si>
    <t>Sapin</t>
  </si>
  <si>
    <t>EPI</t>
  </si>
  <si>
    <t>Épicéa</t>
  </si>
  <si>
    <t>Pin</t>
  </si>
  <si>
    <t>MEL</t>
  </si>
  <si>
    <t>Mélèze</t>
  </si>
  <si>
    <t>Mélange de conifères</t>
  </si>
  <si>
    <t>Mixte feuillus et conifères</t>
  </si>
  <si>
    <t>Betula sp A</t>
  </si>
  <si>
    <t>Quercus robur A</t>
  </si>
  <si>
    <t>Malus sylvestris A</t>
  </si>
  <si>
    <t>ZONE2</t>
  </si>
  <si>
    <t>VIADENE</t>
  </si>
  <si>
    <t>BORALDE_OUEST</t>
  </si>
  <si>
    <t>PLATEAU</t>
  </si>
  <si>
    <t>BORALDE_CENTRE</t>
  </si>
  <si>
    <t>PLATEAU_FERME_NORD</t>
  </si>
  <si>
    <t>BORALDES_EST</t>
  </si>
  <si>
    <t>PROP_PRAIRIES_250</t>
  </si>
  <si>
    <t>PROP_PRAIRIES_500</t>
  </si>
  <si>
    <t>Proportion de prairies (formations herbacées = CS.2.1) dans une zone tampon de 250m (source : OCS GE – IGN)</t>
  </si>
  <si>
    <t>Proportion de prairies (formations herbacées = CS.2.1) dans une zone tampon de 500m (source : OCS GE – IGN)</t>
  </si>
  <si>
    <t>Avenella flexuosa</t>
  </si>
  <si>
    <t>Clinopodium grandiflorum</t>
  </si>
  <si>
    <t>Cardamine pentaphyllos</t>
  </si>
  <si>
    <t>Dryopteris affinis</t>
  </si>
  <si>
    <t>Lathyrus linifolius</t>
  </si>
  <si>
    <t>Neottia ovata</t>
  </si>
  <si>
    <t>Myosotis sylvatica</t>
  </si>
  <si>
    <t>Sedum rupestre</t>
  </si>
  <si>
    <t>Pinus mugo a</t>
  </si>
  <si>
    <t>Pinus mugo h</t>
  </si>
  <si>
    <t>Bistorta officinalis</t>
  </si>
  <si>
    <t>Prunella grandiflora</t>
  </si>
  <si>
    <t>Ranunculus serpens</t>
  </si>
  <si>
    <t>Sanicula europaea</t>
  </si>
  <si>
    <t>Scilla bifolia</t>
  </si>
  <si>
    <t>Campanula scheuchzeri</t>
  </si>
  <si>
    <t>Tilia cordata h</t>
  </si>
  <si>
    <t>Seseli libanotis</t>
  </si>
  <si>
    <t>Betonica officinalis</t>
  </si>
  <si>
    <t>Pinus uncinata A</t>
  </si>
  <si>
    <t>Pinus uncinata a</t>
  </si>
  <si>
    <t>Nombre de chevreuils prélevés sur la commune pour 100 ha (Aveyron seulement pour l’instant, saison de chasse 2024-2025)</t>
  </si>
  <si>
    <t>Nombre de cerfs élaphe femelles prélevés sur la commune pour 100 ha (Aveyron seulement pour l’instant, saison de chasse 2024-2025)</t>
  </si>
  <si>
    <t>Nombre de cerfs élaphe (mâles et femelles confondus) prélevés sur la commune pour 100 ha (Aveyron seulement pour l’instant, saison de chasse 2024-2025)</t>
  </si>
  <si>
    <t>Sous-entités paysagère supposée homogène en terme de conditions environnementales et de densité de cervidés</t>
  </si>
  <si>
    <t>Réserve utile des sol calculée par modélisation (Briswalter 2021, Piedallu 2023) pour l’hiver 2024 (source : Digitalis – UMR SILVA)</t>
  </si>
  <si>
    <t>Déficit d'évaporation en eau des sols calculé avec la formule de Thornthwaite (etp-etr, mm) (Piedallu et al,  2013, 2019) pour l’hiver 2024 (source : Digitalis – UMR SILVA)</t>
  </si>
  <si>
    <t>DIST_LISIERE</t>
  </si>
  <si>
    <t>PLATEAU_FERME_SUD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</si>
</sst>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%"/>
  </numFmts>
  <fonts count="11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2A6099"/>
      <name val="Calibri"/>
      <family val="2"/>
      <charset val="1"/>
    </font>
    <font>
      <sz val="11"/>
      <color rgb="FF2A6099"/>
      <name val="Calibri"/>
      <family val="2"/>
      <charset val="1"/>
    </font>
    <font>
      <b/>
      <sz val="11"/>
      <color rgb="FF1111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4" fontId="6" fillId="0" borderId="0" xfId="0" applyNumberFormat="1" applyFont="1" applyAlignment="1">
      <alignment horizontal="center"/>
    </xf>
    <xf numFmtId="0" fontId="0" fillId="0" borderId="1" xfId="0" applyBorder="1"/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/>
    <xf numFmtId="0" fontId="6" fillId="0" borderId="1" xfId="0" applyFont="1" applyBorder="1"/>
    <xf numFmtId="0" fontId="6" fillId="0" borderId="0" xfId="0" applyFont="1"/>
    <xf numFmtId="0" fontId="7" fillId="0" borderId="1" xfId="0" applyFont="1" applyBorder="1"/>
    <xf numFmtId="0" fontId="7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49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topLeftCell="A31" zoomScale="85" zoomScaleNormal="85" workbookViewId="0">
      <selection activeCell="B47" sqref="B47"/>
    </sheetView>
  </sheetViews>
  <sheetFormatPr defaultColWidth="11.5703125" defaultRowHeight="15" x14ac:dyDescent="0.25"/>
  <cols>
    <col min="1" max="1" width="32" style="1" customWidth="1"/>
    <col min="2" max="2" width="143.85546875" customWidth="1"/>
  </cols>
  <sheetData>
    <row r="1" spans="1:2" s="3" customFormat="1" x14ac:dyDescent="0.25">
      <c r="A1" s="2" t="s">
        <v>0</v>
      </c>
      <c r="B1" s="3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  <row r="7" spans="1:2" x14ac:dyDescent="0.25">
      <c r="A7" s="1" t="s">
        <v>12</v>
      </c>
      <c r="B7" t="s">
        <v>13</v>
      </c>
    </row>
    <row r="8" spans="1:2" x14ac:dyDescent="0.25">
      <c r="A8" s="1" t="s">
        <v>14</v>
      </c>
      <c r="B8" t="s">
        <v>15</v>
      </c>
    </row>
    <row r="9" spans="1:2" x14ac:dyDescent="0.25">
      <c r="A9" s="1" t="s">
        <v>16</v>
      </c>
      <c r="B9" t="s">
        <v>17</v>
      </c>
    </row>
    <row r="10" spans="1:2" x14ac:dyDescent="0.25">
      <c r="A10" s="1" t="s">
        <v>18</v>
      </c>
      <c r="B10" t="s">
        <v>19</v>
      </c>
    </row>
    <row r="11" spans="1:2" x14ac:dyDescent="0.25">
      <c r="A11" s="1" t="s">
        <v>20</v>
      </c>
      <c r="B11" t="s">
        <v>21</v>
      </c>
    </row>
    <row r="12" spans="1:2" x14ac:dyDescent="0.25">
      <c r="A12" s="1" t="s">
        <v>22</v>
      </c>
      <c r="B12" t="s">
        <v>23</v>
      </c>
    </row>
    <row r="13" spans="1:2" x14ac:dyDescent="0.25">
      <c r="A13" s="1" t="s">
        <v>24</v>
      </c>
      <c r="B13" t="s">
        <v>25</v>
      </c>
    </row>
    <row r="14" spans="1:2" x14ac:dyDescent="0.25">
      <c r="A14" s="1" t="s">
        <v>26</v>
      </c>
      <c r="B14" t="s">
        <v>27</v>
      </c>
    </row>
    <row r="15" spans="1:2" x14ac:dyDescent="0.25">
      <c r="A15" s="1" t="s">
        <v>28</v>
      </c>
      <c r="B15" t="s">
        <v>29</v>
      </c>
    </row>
    <row r="16" spans="1:2" x14ac:dyDescent="0.25">
      <c r="A16" s="1" t="s">
        <v>30</v>
      </c>
      <c r="B16" t="s">
        <v>31</v>
      </c>
    </row>
    <row r="17" spans="1:2" x14ac:dyDescent="0.25">
      <c r="A17" s="1" t="s">
        <v>32</v>
      </c>
      <c r="B17" t="s">
        <v>33</v>
      </c>
    </row>
    <row r="18" spans="1:2" x14ac:dyDescent="0.25">
      <c r="A18" s="1" t="s">
        <v>34</v>
      </c>
      <c r="B18" t="s">
        <v>35</v>
      </c>
    </row>
    <row r="19" spans="1:2" x14ac:dyDescent="0.25">
      <c r="A19" s="1" t="s">
        <v>36</v>
      </c>
      <c r="B19" t="s">
        <v>37</v>
      </c>
    </row>
    <row r="20" spans="1:2" x14ac:dyDescent="0.25">
      <c r="A20" s="1" t="s">
        <v>38</v>
      </c>
      <c r="B20" t="s">
        <v>39</v>
      </c>
    </row>
    <row r="21" spans="1:2" x14ac:dyDescent="0.25">
      <c r="A21" s="1" t="s">
        <v>40</v>
      </c>
      <c r="B21" t="s">
        <v>41</v>
      </c>
    </row>
    <row r="22" spans="1:2" x14ac:dyDescent="0.25">
      <c r="A22" s="1" t="s">
        <v>42</v>
      </c>
      <c r="B22" t="s">
        <v>43</v>
      </c>
    </row>
    <row r="23" spans="1:2" x14ac:dyDescent="0.25">
      <c r="A23" s="1" t="s">
        <v>44</v>
      </c>
      <c r="B23" t="s">
        <v>45</v>
      </c>
    </row>
    <row r="24" spans="1:2" x14ac:dyDescent="0.25">
      <c r="A24" s="1" t="s">
        <v>46</v>
      </c>
      <c r="B24" t="s">
        <v>47</v>
      </c>
    </row>
    <row r="25" spans="1:2" x14ac:dyDescent="0.25">
      <c r="A25" s="1" t="s">
        <v>48</v>
      </c>
      <c r="B25" t="s">
        <v>49</v>
      </c>
    </row>
    <row r="26" spans="1:2" x14ac:dyDescent="0.25">
      <c r="A26" s="1" t="s">
        <v>50</v>
      </c>
      <c r="B26" t="s">
        <v>51</v>
      </c>
    </row>
    <row r="27" spans="1:2" x14ac:dyDescent="0.25">
      <c r="A27" s="1" t="s">
        <v>52</v>
      </c>
      <c r="B27" t="s">
        <v>53</v>
      </c>
    </row>
    <row r="28" spans="1:2" x14ac:dyDescent="0.25">
      <c r="A28" s="1" t="s">
        <v>54</v>
      </c>
      <c r="B28" t="s">
        <v>55</v>
      </c>
    </row>
    <row r="29" spans="1:2" x14ac:dyDescent="0.25">
      <c r="A29" s="1" t="s">
        <v>56</v>
      </c>
      <c r="B29" t="s">
        <v>57</v>
      </c>
    </row>
    <row r="30" spans="1:2" x14ac:dyDescent="0.25">
      <c r="A30" s="28" t="s">
        <v>1433</v>
      </c>
      <c r="B30" t="s">
        <v>1435</v>
      </c>
    </row>
    <row r="31" spans="1:2" x14ac:dyDescent="0.25">
      <c r="A31" s="28" t="s">
        <v>1434</v>
      </c>
      <c r="B31" t="s">
        <v>1436</v>
      </c>
    </row>
    <row r="32" spans="1:2" x14ac:dyDescent="0.25">
      <c r="A32" s="1" t="s">
        <v>58</v>
      </c>
      <c r="B32" t="s">
        <v>59</v>
      </c>
    </row>
    <row r="33" spans="1:2" x14ac:dyDescent="0.25">
      <c r="A33" s="1" t="s">
        <v>60</v>
      </c>
      <c r="B33" t="s">
        <v>61</v>
      </c>
    </row>
    <row r="34" spans="1:2" x14ac:dyDescent="0.25">
      <c r="A34" s="1" t="s">
        <v>62</v>
      </c>
      <c r="B34" t="s">
        <v>63</v>
      </c>
    </row>
    <row r="35" spans="1:2" x14ac:dyDescent="0.25">
      <c r="A35" s="1" t="s">
        <v>64</v>
      </c>
      <c r="B35" t="s">
        <v>65</v>
      </c>
    </row>
    <row r="36" spans="1:2" x14ac:dyDescent="0.25">
      <c r="A36" s="1" t="s">
        <v>66</v>
      </c>
      <c r="B36" t="s">
        <v>67</v>
      </c>
    </row>
    <row r="37" spans="1:2" x14ac:dyDescent="0.25">
      <c r="A37" s="1" t="s">
        <v>68</v>
      </c>
      <c r="B37" t="s">
        <v>69</v>
      </c>
    </row>
    <row r="38" spans="1:2" x14ac:dyDescent="0.25">
      <c r="A38" s="1" t="s">
        <v>70</v>
      </c>
      <c r="B38" t="s">
        <v>71</v>
      </c>
    </row>
    <row r="39" spans="1:2" x14ac:dyDescent="0.25">
      <c r="A39" s="1" t="s">
        <v>72</v>
      </c>
      <c r="B39" t="s">
        <v>73</v>
      </c>
    </row>
    <row r="40" spans="1:2" x14ac:dyDescent="0.25">
      <c r="A40" s="1" t="s">
        <v>74</v>
      </c>
      <c r="B40" t="s">
        <v>75</v>
      </c>
    </row>
    <row r="41" spans="1:2" x14ac:dyDescent="0.25">
      <c r="A41" s="1" t="s">
        <v>76</v>
      </c>
      <c r="B41" t="s">
        <v>1463</v>
      </c>
    </row>
    <row r="42" spans="1:2" x14ac:dyDescent="0.25">
      <c r="A42" s="1" t="s">
        <v>77</v>
      </c>
      <c r="B42" t="s">
        <v>78</v>
      </c>
    </row>
    <row r="43" spans="1:2" x14ac:dyDescent="0.25">
      <c r="A43" s="1" t="s">
        <v>79</v>
      </c>
      <c r="B43" t="s">
        <v>80</v>
      </c>
    </row>
    <row r="44" spans="1:2" x14ac:dyDescent="0.25">
      <c r="A44" s="1" t="s">
        <v>81</v>
      </c>
      <c r="B44" t="s">
        <v>1462</v>
      </c>
    </row>
    <row r="45" spans="1:2" x14ac:dyDescent="0.25">
      <c r="A45" s="1" t="s">
        <v>83</v>
      </c>
      <c r="B45" t="s">
        <v>82</v>
      </c>
    </row>
    <row r="46" spans="1:2" x14ac:dyDescent="0.25">
      <c r="A46" s="1" t="s">
        <v>84</v>
      </c>
      <c r="B46" t="s">
        <v>85</v>
      </c>
    </row>
    <row r="47" spans="1:2" x14ac:dyDescent="0.25">
      <c r="A47" s="1" t="s">
        <v>86</v>
      </c>
      <c r="B47" t="s">
        <v>87</v>
      </c>
    </row>
    <row r="48" spans="1:2" x14ac:dyDescent="0.25">
      <c r="A48" s="1" t="s">
        <v>88</v>
      </c>
      <c r="B48" t="s">
        <v>1458</v>
      </c>
    </row>
    <row r="49" spans="1:2" x14ac:dyDescent="0.25">
      <c r="A49" s="1" t="s">
        <v>89</v>
      </c>
      <c r="B49" t="s">
        <v>1459</v>
      </c>
    </row>
    <row r="50" spans="1:2" x14ac:dyDescent="0.25">
      <c r="A50" s="1" t="s">
        <v>90</v>
      </c>
      <c r="B50" t="s">
        <v>1460</v>
      </c>
    </row>
    <row r="51" spans="1:2" x14ac:dyDescent="0.25">
      <c r="A51" s="1" t="s">
        <v>91</v>
      </c>
      <c r="B51" t="s">
        <v>92</v>
      </c>
    </row>
    <row r="52" spans="1:2" x14ac:dyDescent="0.25">
      <c r="A52" s="1" t="s">
        <v>1426</v>
      </c>
      <c r="B52" t="s">
        <v>1461</v>
      </c>
    </row>
    <row r="54" spans="1:2" x14ac:dyDescent="0.25">
      <c r="A54" s="2" t="s">
        <v>93</v>
      </c>
      <c r="B54" s="3" t="s">
        <v>94</v>
      </c>
    </row>
    <row r="55" spans="1:2" x14ac:dyDescent="0.25">
      <c r="A55" s="4" t="s">
        <v>95</v>
      </c>
      <c r="B55" t="s">
        <v>96</v>
      </c>
    </row>
    <row r="56" spans="1:2" x14ac:dyDescent="0.25">
      <c r="A56" s="1" t="s">
        <v>97</v>
      </c>
      <c r="B56" t="s">
        <v>98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108"/>
  <sheetViews>
    <sheetView tabSelected="1" topLeftCell="AT1" zoomScaleNormal="100" workbookViewId="0">
      <pane ySplit="1" topLeftCell="A31" activePane="bottomLeft" state="frozen"/>
      <selection pane="bottomLeft" activeCell="AZ39" sqref="AZ39"/>
    </sheetView>
  </sheetViews>
  <sheetFormatPr defaultColWidth="11.42578125" defaultRowHeight="15" x14ac:dyDescent="0.25"/>
  <cols>
    <col min="1" max="1" width="11.42578125" style="5"/>
    <col min="2" max="2" width="11.42578125" style="6"/>
    <col min="3" max="3" width="31.5703125" style="5" customWidth="1"/>
    <col min="4" max="4" width="18.140625" style="5" customWidth="1"/>
    <col min="5" max="5" width="13" style="5" customWidth="1"/>
    <col min="6" max="6" width="11.42578125" style="5"/>
    <col min="7" max="8" width="10.7109375" customWidth="1"/>
    <col min="9" max="14" width="11.42578125" style="5"/>
    <col min="15" max="20" width="15.7109375" style="5" customWidth="1"/>
    <col min="21" max="26" width="11.42578125" style="5"/>
    <col min="27" max="27" width="17" style="7" customWidth="1"/>
    <col min="28" max="47" width="10.7109375" customWidth="1"/>
    <col min="48" max="48" width="26.85546875" customWidth="1"/>
    <col min="49" max="49" width="22.5703125" customWidth="1"/>
    <col min="50" max="50" width="28.5703125" customWidth="1"/>
    <col min="51" max="51" width="15" customWidth="1"/>
    <col min="52" max="52" width="22.28515625" customWidth="1"/>
    <col min="53" max="16384" width="11.42578125" style="5"/>
  </cols>
  <sheetData>
    <row r="1" spans="1:53" s="8" customFormat="1" x14ac:dyDescent="0.25">
      <c r="A1" s="8" t="s">
        <v>2</v>
      </c>
      <c r="B1" s="8" t="s">
        <v>4</v>
      </c>
      <c r="C1" s="8" t="s">
        <v>6</v>
      </c>
      <c r="D1" s="8" t="s">
        <v>8</v>
      </c>
      <c r="E1" s="8" t="s">
        <v>10</v>
      </c>
      <c r="F1" s="8" t="s">
        <v>12</v>
      </c>
      <c r="G1" s="8" t="s">
        <v>14</v>
      </c>
      <c r="H1" s="8" t="s">
        <v>16</v>
      </c>
      <c r="I1" s="8" t="s">
        <v>18</v>
      </c>
      <c r="J1" s="8" t="s">
        <v>20</v>
      </c>
      <c r="K1" s="8" t="s">
        <v>22</v>
      </c>
      <c r="L1" s="8" t="s">
        <v>24</v>
      </c>
      <c r="M1" s="8" t="s">
        <v>26</v>
      </c>
      <c r="N1" s="8" t="s">
        <v>28</v>
      </c>
      <c r="O1" s="8" t="s">
        <v>30</v>
      </c>
      <c r="P1" s="8" t="s">
        <v>32</v>
      </c>
      <c r="Q1" s="8" t="s">
        <v>34</v>
      </c>
      <c r="R1" s="8" t="s">
        <v>36</v>
      </c>
      <c r="S1" s="8" t="s">
        <v>38</v>
      </c>
      <c r="T1" s="8" t="s">
        <v>40</v>
      </c>
      <c r="U1" s="8" t="s">
        <v>42</v>
      </c>
      <c r="V1" s="8" t="s">
        <v>44</v>
      </c>
      <c r="W1" s="8" t="s">
        <v>46</v>
      </c>
      <c r="X1" s="8" t="s">
        <v>48</v>
      </c>
      <c r="Y1" s="8" t="s">
        <v>50</v>
      </c>
      <c r="Z1" s="8" t="s">
        <v>52</v>
      </c>
      <c r="AA1" s="8" t="s">
        <v>99</v>
      </c>
      <c r="AB1" s="29" t="s">
        <v>54</v>
      </c>
      <c r="AC1" s="29" t="s">
        <v>56</v>
      </c>
      <c r="AD1" s="29" t="s">
        <v>1433</v>
      </c>
      <c r="AE1" s="29" t="s">
        <v>1434</v>
      </c>
      <c r="AF1" s="8" t="s">
        <v>58</v>
      </c>
      <c r="AG1" s="8" t="s">
        <v>60</v>
      </c>
      <c r="AH1" s="8" t="s">
        <v>62</v>
      </c>
      <c r="AI1" s="8" t="s">
        <v>64</v>
      </c>
      <c r="AJ1" s="8" t="s">
        <v>66</v>
      </c>
      <c r="AK1" s="8" t="s">
        <v>68</v>
      </c>
      <c r="AL1" s="8" t="s">
        <v>70</v>
      </c>
      <c r="AM1" s="8" t="s">
        <v>72</v>
      </c>
      <c r="AN1" s="8" t="s">
        <v>74</v>
      </c>
      <c r="AO1" s="8" t="s">
        <v>76</v>
      </c>
      <c r="AP1" s="8" t="s">
        <v>77</v>
      </c>
      <c r="AQ1" s="8" t="s">
        <v>79</v>
      </c>
      <c r="AR1" s="8" t="s">
        <v>81</v>
      </c>
      <c r="AS1" s="8" t="s">
        <v>83</v>
      </c>
      <c r="AT1" s="8" t="s">
        <v>86</v>
      </c>
      <c r="AU1" s="8" t="s">
        <v>84</v>
      </c>
      <c r="AV1" s="8" t="s">
        <v>88</v>
      </c>
      <c r="AW1" s="8" t="s">
        <v>89</v>
      </c>
      <c r="AX1" s="8" t="s">
        <v>90</v>
      </c>
      <c r="AY1" s="8" t="s">
        <v>91</v>
      </c>
      <c r="AZ1" s="29" t="s">
        <v>1426</v>
      </c>
      <c r="BA1" s="29" t="s">
        <v>1464</v>
      </c>
    </row>
    <row r="2" spans="1:53" x14ac:dyDescent="0.25">
      <c r="A2" s="5" t="s">
        <v>100</v>
      </c>
      <c r="B2" s="6">
        <v>46122</v>
      </c>
      <c r="C2" s="5" t="s">
        <v>101</v>
      </c>
      <c r="D2" s="5">
        <v>687188.2</v>
      </c>
      <c r="E2" s="5">
        <v>6408711.7439999999</v>
      </c>
      <c r="F2" s="5">
        <v>2</v>
      </c>
      <c r="G2" s="5">
        <v>45</v>
      </c>
      <c r="H2" s="5">
        <v>992</v>
      </c>
      <c r="I2" s="5">
        <v>5</v>
      </c>
      <c r="K2" s="5" t="s">
        <v>102</v>
      </c>
      <c r="L2" s="5">
        <v>5</v>
      </c>
      <c r="M2" s="5">
        <v>3</v>
      </c>
      <c r="N2" s="5">
        <v>4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 t="s">
        <v>103</v>
      </c>
      <c r="V2" s="5" t="s">
        <v>104</v>
      </c>
      <c r="W2" s="5" t="s">
        <v>105</v>
      </c>
      <c r="X2" s="5" t="s">
        <v>106</v>
      </c>
      <c r="Y2" s="5" t="s">
        <v>106</v>
      </c>
      <c r="Z2" s="5" t="str">
        <f>IF(ISNUMBER(MATCH(A2, TABLEAU_Floristique!B$1:DC$1, 0)), "OUI","NON")</f>
        <v>OUI</v>
      </c>
      <c r="AB2">
        <v>0.63027999999999995</v>
      </c>
      <c r="AC2">
        <v>0.30880999999999997</v>
      </c>
      <c r="AD2">
        <v>0.50658969699337619</v>
      </c>
      <c r="AE2">
        <v>0.829415664040142</v>
      </c>
      <c r="AF2" s="5">
        <v>793.77679652851805</v>
      </c>
      <c r="AG2" s="5">
        <v>491.34709110366498</v>
      </c>
      <c r="AH2" s="5">
        <v>18815.412192411099</v>
      </c>
      <c r="AI2" s="5">
        <v>110.391774766197</v>
      </c>
      <c r="AJ2" s="5">
        <v>0.14227999999999999</v>
      </c>
      <c r="AK2" s="5">
        <v>346.27473476439297</v>
      </c>
      <c r="AL2" s="5"/>
      <c r="AM2" s="5">
        <v>1509.6065000000001</v>
      </c>
      <c r="AN2" s="5">
        <v>788</v>
      </c>
      <c r="AO2" s="5">
        <v>0</v>
      </c>
      <c r="AP2" s="5">
        <v>180</v>
      </c>
      <c r="AQ2" s="5">
        <v>2927</v>
      </c>
      <c r="AR2" s="5">
        <v>587</v>
      </c>
      <c r="AS2" s="5">
        <v>73</v>
      </c>
      <c r="AT2" s="5">
        <v>2</v>
      </c>
      <c r="AU2" s="5">
        <v>36</v>
      </c>
      <c r="AV2" s="5">
        <v>0.72789000000000004</v>
      </c>
      <c r="AW2" s="5">
        <v>6.4999999999999997E-3</v>
      </c>
      <c r="AX2" s="5">
        <v>5.1990000000000001E-2</v>
      </c>
      <c r="AY2" t="s">
        <v>107</v>
      </c>
      <c r="AZ2" t="s">
        <v>1427</v>
      </c>
      <c r="BA2">
        <v>78.900672595693436</v>
      </c>
    </row>
    <row r="3" spans="1:53" x14ac:dyDescent="0.25">
      <c r="A3" s="5" t="s">
        <v>108</v>
      </c>
      <c r="B3" s="6">
        <v>46120</v>
      </c>
      <c r="C3" s="5" t="s">
        <v>101</v>
      </c>
      <c r="D3" s="5">
        <v>692623.39599999995</v>
      </c>
      <c r="E3" s="5">
        <v>6389721.9230000004</v>
      </c>
      <c r="F3" s="5">
        <v>4</v>
      </c>
      <c r="G3" s="5">
        <v>353.21102905273398</v>
      </c>
      <c r="H3" s="5">
        <v>970</v>
      </c>
      <c r="I3" s="5">
        <v>5</v>
      </c>
      <c r="K3" s="5" t="s">
        <v>109</v>
      </c>
      <c r="L3" s="5">
        <v>5</v>
      </c>
      <c r="M3" s="5">
        <v>5</v>
      </c>
      <c r="N3" s="5">
        <v>1</v>
      </c>
      <c r="O3" s="5">
        <v>3</v>
      </c>
      <c r="P3" s="5">
        <v>1</v>
      </c>
      <c r="Q3" s="5">
        <v>0</v>
      </c>
      <c r="R3" s="5">
        <v>3</v>
      </c>
      <c r="S3" s="5">
        <v>0</v>
      </c>
      <c r="T3" s="5">
        <v>0</v>
      </c>
      <c r="U3" s="5" t="s">
        <v>103</v>
      </c>
      <c r="V3" s="5" t="s">
        <v>104</v>
      </c>
      <c r="W3" s="5" t="s">
        <v>105</v>
      </c>
      <c r="X3" s="5" t="s">
        <v>110</v>
      </c>
      <c r="Y3" s="5" t="s">
        <v>111</v>
      </c>
      <c r="Z3" s="5" t="str">
        <f>IF(ISNUMBER(MATCH(A3, TABLEAU_Floristique!B$1:DC$1, 0)), "OUI","NON")</f>
        <v>OUI</v>
      </c>
      <c r="AB3">
        <v>0.62680000000000002</v>
      </c>
      <c r="AC3">
        <v>0.33572000000000002</v>
      </c>
      <c r="AD3">
        <v>0.42339991711156222</v>
      </c>
      <c r="AE3">
        <v>0.63300643947670621</v>
      </c>
      <c r="AF3" s="5">
        <v>568.80197234625598</v>
      </c>
      <c r="AG3" s="5">
        <v>481.810692435004</v>
      </c>
      <c r="AH3" s="5">
        <v>2078.8405739621799</v>
      </c>
      <c r="AI3" s="5">
        <v>57.4509834852701</v>
      </c>
      <c r="AJ3" s="5">
        <v>5.7959999999999998E-2</v>
      </c>
      <c r="AK3" s="5">
        <v>358.60857232498302</v>
      </c>
      <c r="AL3" s="5"/>
      <c r="AM3" s="5">
        <v>703.0367</v>
      </c>
      <c r="AN3" s="5">
        <v>724</v>
      </c>
      <c r="AO3" s="5">
        <v>0</v>
      </c>
      <c r="AP3" s="5">
        <v>194</v>
      </c>
      <c r="AQ3" s="5">
        <v>2748</v>
      </c>
      <c r="AR3" s="5">
        <v>746</v>
      </c>
      <c r="AS3" s="5">
        <v>78</v>
      </c>
      <c r="AT3" s="5">
        <v>-1</v>
      </c>
      <c r="AU3" s="5">
        <v>38</v>
      </c>
      <c r="AV3" s="5">
        <v>0.12987000000000001</v>
      </c>
      <c r="AW3" s="5">
        <v>1</v>
      </c>
      <c r="AX3" s="5">
        <v>3.3376600000000001</v>
      </c>
      <c r="AY3" t="s">
        <v>112</v>
      </c>
      <c r="AZ3" t="s">
        <v>1428</v>
      </c>
      <c r="BA3">
        <v>73.167106988824088</v>
      </c>
    </row>
    <row r="4" spans="1:53" x14ac:dyDescent="0.25">
      <c r="A4" s="5" t="s">
        <v>113</v>
      </c>
      <c r="B4" s="6">
        <v>46175</v>
      </c>
      <c r="C4" s="5" t="s">
        <v>114</v>
      </c>
      <c r="D4" s="5">
        <v>688363.35</v>
      </c>
      <c r="E4" s="5">
        <v>6388081.2599999998</v>
      </c>
      <c r="F4" s="5">
        <v>5</v>
      </c>
      <c r="G4" s="5">
        <v>220.10090637207</v>
      </c>
      <c r="H4" s="5">
        <v>786</v>
      </c>
      <c r="I4" s="5">
        <v>6</v>
      </c>
      <c r="K4" s="5" t="s">
        <v>115</v>
      </c>
      <c r="L4" s="5">
        <v>4</v>
      </c>
      <c r="M4" s="5">
        <v>1</v>
      </c>
      <c r="N4" s="5">
        <v>2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 t="s">
        <v>103</v>
      </c>
      <c r="V4" s="5" t="s">
        <v>104</v>
      </c>
      <c r="W4" s="5" t="s">
        <v>105</v>
      </c>
      <c r="X4" s="5" t="s">
        <v>116</v>
      </c>
      <c r="Y4" s="5" t="s">
        <v>111</v>
      </c>
      <c r="Z4" s="5" t="str">
        <f>IF(ISNUMBER(MATCH(A4, TABLEAU_Floristique!B$1:DC$1, 0)), "OUI","NON")</f>
        <v>OUI</v>
      </c>
      <c r="AB4">
        <v>0.89395999999999998</v>
      </c>
      <c r="AC4">
        <v>0.83438000000000001</v>
      </c>
      <c r="AD4">
        <v>0.10600220443322569</v>
      </c>
      <c r="AE4">
        <v>0.17689716476658929</v>
      </c>
      <c r="AF4" s="5">
        <v>1156.7316776590601</v>
      </c>
      <c r="AG4" s="5">
        <v>781.73100111216399</v>
      </c>
      <c r="AH4" s="5">
        <v>3876.5287337978202</v>
      </c>
      <c r="AI4" s="5">
        <v>209.05104185334699</v>
      </c>
      <c r="AJ4" s="5">
        <v>0.19686999999999999</v>
      </c>
      <c r="AK4" s="5">
        <v>923.20392227255502</v>
      </c>
      <c r="AL4" s="5"/>
      <c r="AM4" s="5"/>
      <c r="AN4" s="5">
        <v>731</v>
      </c>
      <c r="AO4" s="5">
        <v>0</v>
      </c>
      <c r="AP4" s="5">
        <v>214</v>
      </c>
      <c r="AQ4" s="5">
        <v>2847</v>
      </c>
      <c r="AR4" s="5">
        <v>755</v>
      </c>
      <c r="AS4" s="5">
        <v>87</v>
      </c>
      <c r="AT4" s="5">
        <v>4</v>
      </c>
      <c r="AU4" s="5">
        <v>45</v>
      </c>
      <c r="AV4" s="5">
        <v>1.13314</v>
      </c>
      <c r="AW4" s="5">
        <v>0.7409</v>
      </c>
      <c r="AX4" s="5">
        <v>2.3970400000000001</v>
      </c>
      <c r="AY4" t="s">
        <v>112</v>
      </c>
      <c r="AZ4" t="s">
        <v>1428</v>
      </c>
      <c r="BA4">
        <v>165.89537094207139</v>
      </c>
    </row>
    <row r="5" spans="1:53" x14ac:dyDescent="0.25">
      <c r="A5" s="5" t="s">
        <v>117</v>
      </c>
      <c r="B5" s="6">
        <v>46175</v>
      </c>
      <c r="C5" s="5" t="s">
        <v>114</v>
      </c>
      <c r="D5" s="5">
        <v>688363.68</v>
      </c>
      <c r="E5" s="5">
        <v>6388260.9900000002</v>
      </c>
      <c r="F5" s="5">
        <v>2</v>
      </c>
      <c r="G5" s="5">
        <v>230.29008483886699</v>
      </c>
      <c r="H5" s="5">
        <v>866</v>
      </c>
      <c r="I5" s="5">
        <v>7</v>
      </c>
      <c r="K5" s="5" t="s">
        <v>118</v>
      </c>
      <c r="L5" s="5">
        <v>5</v>
      </c>
      <c r="M5" s="5">
        <v>4</v>
      </c>
      <c r="N5" s="5">
        <v>2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 t="s">
        <v>103</v>
      </c>
      <c r="V5" s="5" t="s">
        <v>104</v>
      </c>
      <c r="W5" s="5" t="s">
        <v>105</v>
      </c>
      <c r="X5" s="5" t="s">
        <v>119</v>
      </c>
      <c r="Y5" s="5" t="s">
        <v>111</v>
      </c>
      <c r="Z5" s="5" t="str">
        <f>IF(ISNUMBER(MATCH(A5, TABLEAU_Floristique!B$1:DC$1, 0)), "OUI","NON")</f>
        <v>OUI</v>
      </c>
      <c r="AB5">
        <v>0.65803999999999996</v>
      </c>
      <c r="AC5">
        <v>0.69716999999999996</v>
      </c>
      <c r="AD5">
        <v>0.34588849072142519</v>
      </c>
      <c r="AE5">
        <v>0.31182682775302351</v>
      </c>
      <c r="AF5" s="5">
        <v>1307.69950925329</v>
      </c>
      <c r="AG5" s="5">
        <v>619.03060223170598</v>
      </c>
      <c r="AH5" s="5">
        <v>4038.30328726895</v>
      </c>
      <c r="AI5" s="5">
        <v>222.83143965795699</v>
      </c>
      <c r="AJ5" s="5">
        <v>6.8849999999999995E-2</v>
      </c>
      <c r="AK5" s="5">
        <v>904.52316084199504</v>
      </c>
      <c r="AL5" s="5"/>
      <c r="AM5" s="5"/>
      <c r="AN5" s="5">
        <v>731</v>
      </c>
      <c r="AO5" s="5">
        <v>0</v>
      </c>
      <c r="AP5" s="5">
        <v>214</v>
      </c>
      <c r="AQ5" s="5">
        <v>2847</v>
      </c>
      <c r="AR5" s="5">
        <v>755</v>
      </c>
      <c r="AS5" s="5">
        <v>87</v>
      </c>
      <c r="AT5" s="5">
        <v>4</v>
      </c>
      <c r="AU5" s="5">
        <v>45</v>
      </c>
      <c r="AV5" s="5">
        <v>1.13314</v>
      </c>
      <c r="AW5" s="5">
        <v>0.7409</v>
      </c>
      <c r="AX5" s="5">
        <v>2.3970400000000001</v>
      </c>
      <c r="AY5" t="s">
        <v>112</v>
      </c>
      <c r="AZ5" t="s">
        <v>1428</v>
      </c>
      <c r="BA5">
        <v>2.026297014952513</v>
      </c>
    </row>
    <row r="6" spans="1:53" x14ac:dyDescent="0.25">
      <c r="A6" s="5" t="s">
        <v>120</v>
      </c>
      <c r="B6" s="6">
        <v>46175</v>
      </c>
      <c r="C6" s="5" t="s">
        <v>114</v>
      </c>
      <c r="D6" s="5">
        <v>686966.69</v>
      </c>
      <c r="E6" s="5">
        <v>6389989.2599999998</v>
      </c>
      <c r="F6" s="5">
        <v>4</v>
      </c>
      <c r="G6" s="5">
        <v>321.8427734375</v>
      </c>
      <c r="H6" s="5">
        <v>812</v>
      </c>
      <c r="I6" s="5">
        <v>6</v>
      </c>
      <c r="K6" s="5" t="s">
        <v>115</v>
      </c>
      <c r="L6" s="5">
        <v>5</v>
      </c>
      <c r="M6" s="5">
        <v>3</v>
      </c>
      <c r="N6" s="5">
        <v>1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 t="s">
        <v>103</v>
      </c>
      <c r="V6" s="5" t="s">
        <v>104</v>
      </c>
      <c r="W6" s="5" t="s">
        <v>105</v>
      </c>
      <c r="X6" s="5" t="s">
        <v>106</v>
      </c>
      <c r="Y6" s="5" t="s">
        <v>106</v>
      </c>
      <c r="Z6" s="5" t="str">
        <f>IF(ISNUMBER(MATCH(A6, TABLEAU_Floristique!B$1:DC$1, 0)), "OUI","NON")</f>
        <v>OUI</v>
      </c>
      <c r="AB6">
        <v>0.99204999999999999</v>
      </c>
      <c r="AC6">
        <v>0.96550999999999998</v>
      </c>
      <c r="AD6">
        <v>1.3326081354432741E-3</v>
      </c>
      <c r="AE6">
        <v>3.2140366302908313E-2</v>
      </c>
      <c r="AF6" s="5">
        <v>1913.8302593753499</v>
      </c>
      <c r="AG6" s="5">
        <v>452.97226592768902</v>
      </c>
      <c r="AH6" s="5">
        <v>6219.1435667537698</v>
      </c>
      <c r="AI6" s="5">
        <v>259.45895185953498</v>
      </c>
      <c r="AJ6" s="5">
        <v>0.92871000000000004</v>
      </c>
      <c r="AK6" s="5">
        <v>877.95576409061505</v>
      </c>
      <c r="AL6" s="5"/>
      <c r="AM6" s="5"/>
      <c r="AN6" s="5">
        <v>726</v>
      </c>
      <c r="AO6" s="5">
        <v>0</v>
      </c>
      <c r="AP6" s="5">
        <v>231</v>
      </c>
      <c r="AQ6" s="5">
        <v>2866</v>
      </c>
      <c r="AR6" s="5">
        <v>543</v>
      </c>
      <c r="AS6" s="5">
        <v>90</v>
      </c>
      <c r="AT6" s="5">
        <v>3</v>
      </c>
      <c r="AU6" s="5">
        <v>48</v>
      </c>
      <c r="AV6" s="5">
        <v>0.30277999999999999</v>
      </c>
      <c r="AW6" s="5">
        <v>0.16514999999999999</v>
      </c>
      <c r="AX6" s="5">
        <v>0.68813999999999997</v>
      </c>
      <c r="AY6" t="s">
        <v>112</v>
      </c>
      <c r="AZ6" t="s">
        <v>1428</v>
      </c>
      <c r="BA6">
        <v>238.9871178537137</v>
      </c>
    </row>
    <row r="7" spans="1:53" x14ac:dyDescent="0.25">
      <c r="A7" s="5" t="s">
        <v>121</v>
      </c>
      <c r="B7" s="6">
        <v>46175</v>
      </c>
      <c r="C7" s="5" t="s">
        <v>114</v>
      </c>
      <c r="D7" s="5">
        <v>687155.61</v>
      </c>
      <c r="E7" s="5">
        <v>6389715.5</v>
      </c>
      <c r="F7" s="5">
        <v>4</v>
      </c>
      <c r="G7" s="5">
        <v>166.09732055664099</v>
      </c>
      <c r="H7" s="5">
        <v>752</v>
      </c>
      <c r="I7" s="5">
        <v>5</v>
      </c>
      <c r="K7" s="5" t="s">
        <v>115</v>
      </c>
      <c r="L7" s="5">
        <v>5</v>
      </c>
      <c r="M7" s="5">
        <v>5</v>
      </c>
      <c r="N7" s="5">
        <v>2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 t="s">
        <v>103</v>
      </c>
      <c r="V7" s="5" t="s">
        <v>104</v>
      </c>
      <c r="W7" s="5" t="s">
        <v>105</v>
      </c>
      <c r="X7" s="5" t="s">
        <v>111</v>
      </c>
      <c r="Y7" s="5" t="s">
        <v>111</v>
      </c>
      <c r="Z7" s="5" t="str">
        <f>IF(ISNUMBER(MATCH(A7, TABLEAU_Floristique!B$1:DC$1, 0)), "OUI","NON")</f>
        <v>OUI</v>
      </c>
      <c r="AB7">
        <v>0.99800999999999995</v>
      </c>
      <c r="AC7">
        <v>0.96782999999999997</v>
      </c>
      <c r="AE7">
        <v>2.935854444438548E-2</v>
      </c>
      <c r="AF7" s="5">
        <v>2012.1492956786001</v>
      </c>
      <c r="AG7" s="5">
        <v>137.54448044168299</v>
      </c>
      <c r="AH7" s="5">
        <v>5887.6377719361199</v>
      </c>
      <c r="AI7" s="5">
        <v>165.337845896982</v>
      </c>
      <c r="AJ7" s="5">
        <v>0.95093000000000005</v>
      </c>
      <c r="AK7" s="5">
        <v>914.545817387076</v>
      </c>
      <c r="AL7" s="5"/>
      <c r="AM7" s="5"/>
      <c r="AN7" s="5">
        <v>733</v>
      </c>
      <c r="AO7" s="5">
        <v>0</v>
      </c>
      <c r="AP7" s="5">
        <v>217</v>
      </c>
      <c r="AQ7" s="5">
        <v>2866</v>
      </c>
      <c r="AR7" s="5">
        <v>656</v>
      </c>
      <c r="AS7" s="5">
        <v>88</v>
      </c>
      <c r="AT7" s="5">
        <v>4</v>
      </c>
      <c r="AU7" s="5">
        <v>47</v>
      </c>
      <c r="AV7" s="5">
        <v>0.30277999999999999</v>
      </c>
      <c r="AW7" s="5">
        <v>0.16514999999999999</v>
      </c>
      <c r="AX7" s="5">
        <v>0.68813999999999997</v>
      </c>
      <c r="AY7" t="s">
        <v>112</v>
      </c>
      <c r="AZ7" t="s">
        <v>1428</v>
      </c>
      <c r="BA7">
        <v>284.7057324681046</v>
      </c>
    </row>
    <row r="8" spans="1:53" x14ac:dyDescent="0.25">
      <c r="A8" s="5" t="s">
        <v>122</v>
      </c>
      <c r="B8" s="6">
        <v>46211</v>
      </c>
      <c r="C8" s="5" t="s">
        <v>101</v>
      </c>
      <c r="D8" s="5">
        <v>687639.88899999997</v>
      </c>
      <c r="E8" s="5">
        <v>6390114.3260000004</v>
      </c>
      <c r="F8" s="5">
        <v>3</v>
      </c>
      <c r="G8" s="5">
        <v>142.23692321777301</v>
      </c>
      <c r="H8" s="5">
        <v>748</v>
      </c>
      <c r="I8" s="5">
        <v>5</v>
      </c>
      <c r="J8" s="5">
        <v>17</v>
      </c>
      <c r="K8" s="5" t="s">
        <v>115</v>
      </c>
      <c r="L8" s="5">
        <v>4</v>
      </c>
      <c r="M8" s="5">
        <v>4</v>
      </c>
      <c r="N8" s="5">
        <v>5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 t="s">
        <v>103</v>
      </c>
      <c r="V8" s="5" t="s">
        <v>104</v>
      </c>
      <c r="W8" s="5" t="s">
        <v>105</v>
      </c>
      <c r="X8" s="5" t="s">
        <v>116</v>
      </c>
      <c r="Y8" s="5" t="s">
        <v>111</v>
      </c>
      <c r="Z8" s="5" t="str">
        <f>IF(ISNUMBER(MATCH(A8, TABLEAU_Floristique!B$1:DC$1, 0)), "OUI","NON")</f>
        <v>OUI</v>
      </c>
      <c r="AB8">
        <v>0.97052000000000005</v>
      </c>
      <c r="AC8">
        <v>0.87814000000000003</v>
      </c>
      <c r="AD8">
        <v>4.0280760383390693E-2</v>
      </c>
      <c r="AE8">
        <v>0.11877100477016179</v>
      </c>
      <c r="AF8" s="5">
        <v>1580.6301633199801</v>
      </c>
      <c r="AG8" s="5">
        <v>66.180645184204394</v>
      </c>
      <c r="AH8" s="5">
        <v>6024.9799599484104</v>
      </c>
      <c r="AI8" s="5">
        <v>146.39795352758699</v>
      </c>
      <c r="AJ8" s="5">
        <v>0.50026000000000004</v>
      </c>
      <c r="AK8" s="5">
        <v>781.17595636154397</v>
      </c>
      <c r="AL8" s="5"/>
      <c r="AM8" s="5"/>
      <c r="AN8" s="5">
        <v>733</v>
      </c>
      <c r="AO8" s="5">
        <v>0</v>
      </c>
      <c r="AP8" s="5">
        <v>217</v>
      </c>
      <c r="AQ8" s="5">
        <v>2846</v>
      </c>
      <c r="AR8" s="5">
        <v>656</v>
      </c>
      <c r="AS8" s="5">
        <v>88</v>
      </c>
      <c r="AT8" s="5">
        <v>4</v>
      </c>
      <c r="AU8" s="5">
        <v>47</v>
      </c>
      <c r="AV8" s="5">
        <v>0.30277999999999999</v>
      </c>
      <c r="AW8" s="5">
        <v>0.16514999999999999</v>
      </c>
      <c r="AX8" s="5">
        <v>0.68813999999999997</v>
      </c>
      <c r="AY8" t="s">
        <v>112</v>
      </c>
      <c r="AZ8" t="s">
        <v>1428</v>
      </c>
      <c r="BA8">
        <v>198.07037752405901</v>
      </c>
    </row>
    <row r="9" spans="1:53" x14ac:dyDescent="0.25">
      <c r="A9" s="5" t="s">
        <v>123</v>
      </c>
      <c r="B9" s="6">
        <v>46196</v>
      </c>
      <c r="C9" s="5" t="s">
        <v>101</v>
      </c>
      <c r="D9" s="5">
        <v>689415.91899999999</v>
      </c>
      <c r="E9" s="5">
        <v>6391393.9079999998</v>
      </c>
      <c r="F9" s="5">
        <v>3</v>
      </c>
      <c r="G9" s="5">
        <v>311.82019042968801</v>
      </c>
      <c r="H9" s="5">
        <v>920</v>
      </c>
      <c r="I9" s="5">
        <v>5</v>
      </c>
      <c r="J9" s="5">
        <v>15</v>
      </c>
      <c r="K9" s="5" t="s">
        <v>115</v>
      </c>
      <c r="L9" s="5">
        <v>5</v>
      </c>
      <c r="M9" s="5">
        <v>4</v>
      </c>
      <c r="N9" s="5">
        <v>2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 t="s">
        <v>103</v>
      </c>
      <c r="V9" s="5" t="s">
        <v>104</v>
      </c>
      <c r="W9" s="5" t="s">
        <v>105</v>
      </c>
      <c r="X9" s="5" t="s">
        <v>111</v>
      </c>
      <c r="Y9" s="5" t="s">
        <v>111</v>
      </c>
      <c r="Z9" s="5" t="str">
        <f>IF(ISNUMBER(MATCH(A9, TABLEAU_Floristique!B$1:DC$1, 0)), "OUI","NON")</f>
        <v>OUI</v>
      </c>
      <c r="AB9">
        <v>0.61692000000000002</v>
      </c>
      <c r="AC9">
        <v>0.48215000000000002</v>
      </c>
      <c r="AD9">
        <v>0.35215008724827679</v>
      </c>
      <c r="AE9">
        <v>0.45757317987864732</v>
      </c>
      <c r="AF9" s="5">
        <v>245.76039271003199</v>
      </c>
      <c r="AG9" s="5">
        <v>300.51117321102902</v>
      </c>
      <c r="AH9" s="5">
        <v>5531.8832953183401</v>
      </c>
      <c r="AI9" s="5">
        <v>301.07192566775001</v>
      </c>
      <c r="AJ9" s="5">
        <v>0.22994999999999999</v>
      </c>
      <c r="AK9" s="5">
        <v>287.97232683889098</v>
      </c>
      <c r="AL9" s="5"/>
      <c r="AM9" s="5">
        <v>4061.1617299999998</v>
      </c>
      <c r="AN9" s="5">
        <v>747</v>
      </c>
      <c r="AO9" s="5">
        <v>0</v>
      </c>
      <c r="AP9" s="5">
        <v>190</v>
      </c>
      <c r="AQ9" s="5">
        <v>2825</v>
      </c>
      <c r="AR9" s="5">
        <v>733</v>
      </c>
      <c r="AS9" s="5">
        <v>76</v>
      </c>
      <c r="AT9" s="5">
        <v>6</v>
      </c>
      <c r="AU9" s="5">
        <v>38</v>
      </c>
      <c r="AV9" s="5">
        <v>1.13314</v>
      </c>
      <c r="AW9" s="5">
        <v>0.7409</v>
      </c>
      <c r="AX9" s="5">
        <v>2.3970400000000001</v>
      </c>
      <c r="AY9" t="s">
        <v>112</v>
      </c>
      <c r="AZ9" t="s">
        <v>1428</v>
      </c>
      <c r="BA9">
        <v>34.981955447016219</v>
      </c>
    </row>
    <row r="10" spans="1:53" x14ac:dyDescent="0.25">
      <c r="A10" s="5" t="s">
        <v>124</v>
      </c>
      <c r="B10" s="6">
        <v>46190</v>
      </c>
      <c r="C10" s="5" t="s">
        <v>101</v>
      </c>
      <c r="D10" s="5">
        <v>696205.09499999997</v>
      </c>
      <c r="E10" s="5">
        <v>6394209.7960000001</v>
      </c>
      <c r="F10" s="5">
        <v>2</v>
      </c>
      <c r="G10" s="5">
        <v>239.03623962402301</v>
      </c>
      <c r="H10" s="5">
        <v>1343</v>
      </c>
      <c r="I10" s="5">
        <v>5</v>
      </c>
      <c r="J10" s="5">
        <v>25</v>
      </c>
      <c r="K10" s="5" t="s">
        <v>118</v>
      </c>
      <c r="L10" s="5">
        <v>5</v>
      </c>
      <c r="M10" s="5">
        <v>4</v>
      </c>
      <c r="N10" s="5">
        <v>2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 t="s">
        <v>103</v>
      </c>
      <c r="V10" s="5" t="s">
        <v>104</v>
      </c>
      <c r="W10" s="5" t="s">
        <v>105</v>
      </c>
      <c r="X10" s="5" t="s">
        <v>110</v>
      </c>
      <c r="Y10" s="5" t="s">
        <v>106</v>
      </c>
      <c r="Z10" s="5" t="str">
        <f>IF(ISNUMBER(MATCH(A10, TABLEAU_Floristique!B$1:DC$1, 0)), "OUI","NON")</f>
        <v>OUI</v>
      </c>
      <c r="AB10">
        <v>1</v>
      </c>
      <c r="AC10">
        <v>0.99639</v>
      </c>
      <c r="AE10">
        <v>4.93994313563593E-3</v>
      </c>
      <c r="AF10" s="5">
        <v>696.27374317898898</v>
      </c>
      <c r="AG10" s="5">
        <v>919.29076327438804</v>
      </c>
      <c r="AH10" s="5">
        <v>2732.82367559567</v>
      </c>
      <c r="AI10" s="5">
        <v>440.59638942275501</v>
      </c>
      <c r="AJ10" s="5">
        <v>1</v>
      </c>
      <c r="AK10" s="5">
        <v>970.92297719275302</v>
      </c>
      <c r="AL10" s="5"/>
      <c r="AM10" s="5"/>
      <c r="AN10" s="5">
        <v>761</v>
      </c>
      <c r="AO10" s="5">
        <v>0</v>
      </c>
      <c r="AP10" s="5">
        <v>121</v>
      </c>
      <c r="AQ10" s="5">
        <v>2660</v>
      </c>
      <c r="AR10" s="5">
        <v>827</v>
      </c>
      <c r="AS10" s="5">
        <v>51</v>
      </c>
      <c r="AT10" s="5">
        <v>-3</v>
      </c>
      <c r="AU10" s="5">
        <v>22</v>
      </c>
      <c r="AV10" s="5">
        <v>1.13314</v>
      </c>
      <c r="AW10" s="5">
        <v>0.7409</v>
      </c>
      <c r="AX10" s="5">
        <v>2.3970400000000001</v>
      </c>
      <c r="AY10" t="s">
        <v>112</v>
      </c>
      <c r="AZ10" t="s">
        <v>1429</v>
      </c>
      <c r="BA10">
        <v>449.65969425898828</v>
      </c>
    </row>
    <row r="11" spans="1:53" x14ac:dyDescent="0.25">
      <c r="A11" s="5" t="s">
        <v>125</v>
      </c>
      <c r="B11" s="6">
        <v>46211</v>
      </c>
      <c r="C11" s="5" t="s">
        <v>101</v>
      </c>
      <c r="D11" s="5">
        <v>690189.50100000005</v>
      </c>
      <c r="E11" s="5">
        <v>6386932.3909999998</v>
      </c>
      <c r="F11" s="5">
        <v>5</v>
      </c>
      <c r="G11" s="5">
        <v>197.48800659179699</v>
      </c>
      <c r="H11" s="5">
        <v>829</v>
      </c>
      <c r="I11" s="5">
        <v>3</v>
      </c>
      <c r="J11" s="5">
        <v>14</v>
      </c>
      <c r="K11" s="5" t="s">
        <v>115</v>
      </c>
      <c r="L11" s="5">
        <v>4</v>
      </c>
      <c r="M11" s="5">
        <v>5</v>
      </c>
      <c r="N11" s="5" t="s">
        <v>126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 t="s">
        <v>103</v>
      </c>
      <c r="V11" s="5" t="s">
        <v>104</v>
      </c>
      <c r="W11" s="5" t="s">
        <v>105</v>
      </c>
      <c r="X11" s="5" t="s">
        <v>111</v>
      </c>
      <c r="Y11" s="5" t="s">
        <v>111</v>
      </c>
      <c r="Z11" s="5" t="str">
        <f>IF(ISNUMBER(MATCH(A11, TABLEAU_Floristique!B$1:DC$1, 0)), "OUI","NON")</f>
        <v>OUI</v>
      </c>
      <c r="AB11">
        <v>0.87533000000000005</v>
      </c>
      <c r="AC11">
        <v>0.58279000000000003</v>
      </c>
      <c r="AD11">
        <v>0.13670654220337061</v>
      </c>
      <c r="AE11">
        <v>0.40623523623688051</v>
      </c>
      <c r="AF11" s="5">
        <v>569.29655374569995</v>
      </c>
      <c r="AG11" s="5">
        <v>400.1758801853</v>
      </c>
      <c r="AH11" s="5">
        <v>2268.3801915736599</v>
      </c>
      <c r="AI11" s="5">
        <v>191.01581212541299</v>
      </c>
      <c r="AJ11" s="5">
        <v>3.6159999999999998E-2</v>
      </c>
      <c r="AK11" s="5">
        <v>355.384747677902</v>
      </c>
      <c r="AL11" s="5"/>
      <c r="AM11" s="5">
        <v>1202.5190399999999</v>
      </c>
      <c r="AN11" s="5">
        <v>719</v>
      </c>
      <c r="AO11" s="5">
        <v>0</v>
      </c>
      <c r="AP11" s="5">
        <v>212</v>
      </c>
      <c r="AQ11" s="5">
        <v>2807</v>
      </c>
      <c r="AR11" s="5">
        <v>602</v>
      </c>
      <c r="AS11" s="5">
        <v>81</v>
      </c>
      <c r="AT11" s="5">
        <v>5</v>
      </c>
      <c r="AU11" s="5">
        <v>43</v>
      </c>
      <c r="AV11" s="5">
        <v>0.12987000000000001</v>
      </c>
      <c r="AW11" s="5">
        <v>1</v>
      </c>
      <c r="AX11" s="5">
        <v>3.3376600000000001</v>
      </c>
      <c r="AY11" t="s">
        <v>112</v>
      </c>
      <c r="AZ11" t="s">
        <v>1430</v>
      </c>
      <c r="BA11">
        <v>134.71576468395901</v>
      </c>
    </row>
    <row r="12" spans="1:53" x14ac:dyDescent="0.25">
      <c r="A12" s="5" t="s">
        <v>127</v>
      </c>
      <c r="B12" s="6">
        <v>46120</v>
      </c>
      <c r="C12" s="5" t="s">
        <v>101</v>
      </c>
      <c r="D12" s="5">
        <v>693285.68799999997</v>
      </c>
      <c r="E12" s="5">
        <v>6387986.1150000002</v>
      </c>
      <c r="F12" s="5">
        <v>5</v>
      </c>
      <c r="G12" s="5">
        <v>183.42387390136699</v>
      </c>
      <c r="H12" s="5">
        <v>884</v>
      </c>
      <c r="I12" s="5">
        <v>5</v>
      </c>
      <c r="K12" s="5" t="s">
        <v>118</v>
      </c>
      <c r="L12" s="5">
        <v>5</v>
      </c>
      <c r="M12" s="5">
        <v>3</v>
      </c>
      <c r="N12" s="5">
        <v>4</v>
      </c>
      <c r="O12" s="5">
        <v>0</v>
      </c>
      <c r="P12" s="5">
        <v>0</v>
      </c>
      <c r="Q12" s="5">
        <v>0</v>
      </c>
      <c r="R12" s="5">
        <v>0</v>
      </c>
      <c r="S12" s="5">
        <v>2</v>
      </c>
      <c r="T12" s="5">
        <v>0</v>
      </c>
      <c r="U12" s="5" t="s">
        <v>103</v>
      </c>
      <c r="V12" s="5" t="s">
        <v>104</v>
      </c>
      <c r="W12" s="5" t="s">
        <v>105</v>
      </c>
      <c r="X12" s="5" t="s">
        <v>116</v>
      </c>
      <c r="Y12" s="5" t="s">
        <v>111</v>
      </c>
      <c r="Z12" s="5" t="str">
        <f>IF(ISNUMBER(MATCH(A12, TABLEAU_Floristique!B$1:DC$1, 0)), "OUI","NON")</f>
        <v>OUI</v>
      </c>
      <c r="AB12">
        <v>0.49890000000000001</v>
      </c>
      <c r="AC12">
        <v>0.27905999999999997</v>
      </c>
      <c r="AD12">
        <v>0.50115837413751685</v>
      </c>
      <c r="AE12">
        <v>0.64848110874410314</v>
      </c>
      <c r="AF12" s="5">
        <v>97.870614325524997</v>
      </c>
      <c r="AG12" s="5">
        <v>63.559776627966997</v>
      </c>
      <c r="AH12" s="5">
        <v>494.58733012308102</v>
      </c>
      <c r="AI12" s="5">
        <v>189.774773713885</v>
      </c>
      <c r="AJ12" s="5"/>
      <c r="AK12" s="5">
        <v>233.01860004969299</v>
      </c>
      <c r="AL12" s="5">
        <v>296.29748999999998</v>
      </c>
      <c r="AM12" s="5">
        <v>15611.30414</v>
      </c>
      <c r="AN12" s="5">
        <v>691</v>
      </c>
      <c r="AO12" s="5">
        <v>0</v>
      </c>
      <c r="AP12" s="5">
        <v>221</v>
      </c>
      <c r="AQ12" s="5">
        <v>2750</v>
      </c>
      <c r="AR12" s="5">
        <v>733</v>
      </c>
      <c r="AS12" s="5">
        <v>85</v>
      </c>
      <c r="AT12" s="5">
        <v>-3</v>
      </c>
      <c r="AU12" s="5">
        <v>45</v>
      </c>
      <c r="AV12" s="5">
        <v>0.12987000000000001</v>
      </c>
      <c r="AW12" s="5">
        <v>1</v>
      </c>
      <c r="AX12" s="5">
        <v>3.3376600000000001</v>
      </c>
      <c r="AY12" t="s">
        <v>112</v>
      </c>
      <c r="AZ12" t="s">
        <v>1430</v>
      </c>
      <c r="BA12">
        <v>60.173069376810041</v>
      </c>
    </row>
    <row r="13" spans="1:53" x14ac:dyDescent="0.25">
      <c r="A13" s="5" t="s">
        <v>128</v>
      </c>
      <c r="B13" s="6">
        <v>46121</v>
      </c>
      <c r="C13" s="5" t="s">
        <v>101</v>
      </c>
      <c r="D13" s="5">
        <v>697665.68799999997</v>
      </c>
      <c r="E13" s="5">
        <v>6388912.2819999997</v>
      </c>
      <c r="F13" s="5">
        <v>2</v>
      </c>
      <c r="G13" s="5">
        <v>316.50744628906301</v>
      </c>
      <c r="H13" s="5">
        <v>1096</v>
      </c>
      <c r="I13" s="5">
        <v>5</v>
      </c>
      <c r="K13" s="5" t="s">
        <v>115</v>
      </c>
      <c r="L13" s="5">
        <v>5</v>
      </c>
      <c r="M13" s="5">
        <v>4</v>
      </c>
      <c r="N13" s="5">
        <v>2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 t="s">
        <v>103</v>
      </c>
      <c r="V13" s="5" t="s">
        <v>104</v>
      </c>
      <c r="W13" s="5" t="s">
        <v>105</v>
      </c>
      <c r="X13" s="5" t="s">
        <v>111</v>
      </c>
      <c r="Y13" s="5" t="s">
        <v>111</v>
      </c>
      <c r="Z13" s="5" t="str">
        <f>IF(ISNUMBER(MATCH(A13, TABLEAU_Floristique!B$1:DC$1, 0)), "OUI","NON")</f>
        <v>OUI</v>
      </c>
      <c r="AB13">
        <v>0.82532000000000005</v>
      </c>
      <c r="AC13">
        <v>0.65261999999999998</v>
      </c>
      <c r="AD13">
        <v>0.33975265650331121</v>
      </c>
      <c r="AE13">
        <v>0.40900347712082458</v>
      </c>
      <c r="AF13" s="5">
        <v>574.98355182379203</v>
      </c>
      <c r="AG13" s="5">
        <v>229.04144705320101</v>
      </c>
      <c r="AH13" s="5">
        <v>1294.0558499558299</v>
      </c>
      <c r="AI13" s="5">
        <v>452.08803663444797</v>
      </c>
      <c r="AJ13" s="5">
        <v>0.48325000000000001</v>
      </c>
      <c r="AK13" s="5">
        <v>311.33498882722398</v>
      </c>
      <c r="AL13" s="5"/>
      <c r="AM13" s="5">
        <v>2380.0143400000002</v>
      </c>
      <c r="AN13" s="5">
        <v>719</v>
      </c>
      <c r="AO13" s="5">
        <v>0</v>
      </c>
      <c r="AP13" s="5">
        <v>164</v>
      </c>
      <c r="AQ13" s="5">
        <v>2647</v>
      </c>
      <c r="AR13" s="5">
        <v>483</v>
      </c>
      <c r="AS13" s="5">
        <v>73</v>
      </c>
      <c r="AT13" s="5">
        <v>-6</v>
      </c>
      <c r="AU13" s="5">
        <v>33</v>
      </c>
      <c r="AV13" s="5">
        <v>0.12987000000000001</v>
      </c>
      <c r="AW13" s="5">
        <v>1</v>
      </c>
      <c r="AX13" s="5">
        <v>3.3376600000000001</v>
      </c>
      <c r="AY13" t="s">
        <v>112</v>
      </c>
      <c r="AZ13" t="s">
        <v>1429</v>
      </c>
      <c r="BA13">
        <v>56.427462001988708</v>
      </c>
    </row>
    <row r="14" spans="1:53" x14ac:dyDescent="0.25">
      <c r="A14" s="5" t="s">
        <v>129</v>
      </c>
      <c r="B14" s="6">
        <v>46121</v>
      </c>
      <c r="C14" s="5" t="s">
        <v>101</v>
      </c>
      <c r="D14" s="5">
        <v>697953.26800000004</v>
      </c>
      <c r="E14" s="5">
        <v>6389085.9630000005</v>
      </c>
      <c r="F14" s="5">
        <v>4</v>
      </c>
      <c r="G14" s="5">
        <v>277.59466552734398</v>
      </c>
      <c r="H14" s="5">
        <v>1159</v>
      </c>
      <c r="I14" s="5">
        <v>5</v>
      </c>
      <c r="K14" s="5" t="s">
        <v>118</v>
      </c>
      <c r="L14" s="5">
        <v>5</v>
      </c>
      <c r="M14" s="5">
        <v>4</v>
      </c>
      <c r="N14" s="5">
        <v>2</v>
      </c>
      <c r="O14" s="5">
        <v>4</v>
      </c>
      <c r="P14" s="5">
        <v>0</v>
      </c>
      <c r="Q14" s="5">
        <v>0</v>
      </c>
      <c r="R14" s="5">
        <v>4</v>
      </c>
      <c r="S14" s="5">
        <v>0</v>
      </c>
      <c r="T14" s="5">
        <v>0</v>
      </c>
      <c r="U14" s="5" t="s">
        <v>103</v>
      </c>
      <c r="V14" s="5" t="s">
        <v>104</v>
      </c>
      <c r="W14" s="5" t="s">
        <v>105</v>
      </c>
      <c r="X14" s="5" t="s">
        <v>111</v>
      </c>
      <c r="Y14" s="5" t="s">
        <v>111</v>
      </c>
      <c r="Z14" s="5" t="str">
        <f>IF(ISNUMBER(MATCH(A14, TABLEAU_Floristique!B$1:DC$1, 0)), "OUI","NON")</f>
        <v>OUI</v>
      </c>
      <c r="AB14">
        <v>0.66200000000000003</v>
      </c>
      <c r="AC14">
        <v>0.74395999999999995</v>
      </c>
      <c r="AD14">
        <v>0.43517248660146579</v>
      </c>
      <c r="AE14">
        <v>0.39147378215575868</v>
      </c>
      <c r="AF14" s="5">
        <v>781.53941576415002</v>
      </c>
      <c r="AG14" s="5">
        <v>365.97052448619701</v>
      </c>
      <c r="AH14" s="5">
        <v>1323.83725511682</v>
      </c>
      <c r="AI14" s="5">
        <v>641.03186800283504</v>
      </c>
      <c r="AJ14" s="5">
        <v>0.43565999999999999</v>
      </c>
      <c r="AK14" s="5">
        <v>190.95078316989901</v>
      </c>
      <c r="AL14" s="5">
        <v>81.139269999999996</v>
      </c>
      <c r="AM14" s="5">
        <v>1711.06423</v>
      </c>
      <c r="AN14" s="5">
        <v>719</v>
      </c>
      <c r="AO14" s="5">
        <v>0</v>
      </c>
      <c r="AP14" s="5">
        <v>164</v>
      </c>
      <c r="AQ14" s="5">
        <v>2642</v>
      </c>
      <c r="AR14" s="5">
        <v>483</v>
      </c>
      <c r="AS14" s="5">
        <v>73</v>
      </c>
      <c r="AT14" s="5">
        <v>-6</v>
      </c>
      <c r="AU14" s="5">
        <v>33</v>
      </c>
      <c r="AV14" s="5">
        <v>0.12987000000000001</v>
      </c>
      <c r="AW14" s="5">
        <v>1</v>
      </c>
      <c r="AX14" s="5">
        <v>3.3376600000000001</v>
      </c>
      <c r="AY14" t="s">
        <v>112</v>
      </c>
      <c r="AZ14" t="s">
        <v>1429</v>
      </c>
      <c r="BA14">
        <v>73.976917974514222</v>
      </c>
    </row>
    <row r="15" spans="1:53" x14ac:dyDescent="0.25">
      <c r="A15" s="5" t="s">
        <v>130</v>
      </c>
      <c r="B15" s="6">
        <v>46121</v>
      </c>
      <c r="C15" s="5" t="s">
        <v>101</v>
      </c>
      <c r="D15" s="5">
        <v>696517.50699999998</v>
      </c>
      <c r="E15" s="5">
        <v>6388397.3300000001</v>
      </c>
      <c r="F15" s="5">
        <v>2</v>
      </c>
      <c r="G15" s="5">
        <v>326.30993652343801</v>
      </c>
      <c r="H15" s="5">
        <v>1028</v>
      </c>
      <c r="I15" s="5">
        <v>5</v>
      </c>
      <c r="K15" s="5" t="s">
        <v>115</v>
      </c>
      <c r="L15" s="5">
        <v>5</v>
      </c>
      <c r="M15" s="5">
        <v>4</v>
      </c>
      <c r="N15" s="5">
        <v>1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 t="s">
        <v>103</v>
      </c>
      <c r="V15" s="5" t="s">
        <v>104</v>
      </c>
      <c r="W15" s="5" t="s">
        <v>105</v>
      </c>
      <c r="X15" s="5" t="s">
        <v>106</v>
      </c>
      <c r="Y15" s="5" t="s">
        <v>106</v>
      </c>
      <c r="Z15" s="5" t="str">
        <f>IF(ISNUMBER(MATCH(A15, TABLEAU_Floristique!B$1:DC$1, 0)), "OUI","NON")</f>
        <v>OUI</v>
      </c>
      <c r="AB15">
        <v>0.84323999999999999</v>
      </c>
      <c r="AC15">
        <v>0.75453000000000003</v>
      </c>
      <c r="AD15">
        <v>0.16125799510003699</v>
      </c>
      <c r="AE15">
        <v>0.22619459352717239</v>
      </c>
      <c r="AF15" s="5">
        <v>329.04604729521799</v>
      </c>
      <c r="AG15" s="5">
        <v>67.250019796503196</v>
      </c>
      <c r="AH15" s="5">
        <v>779.52854431140997</v>
      </c>
      <c r="AI15" s="5">
        <v>241.73329921416399</v>
      </c>
      <c r="AJ15" s="5">
        <v>1.0529999999999999E-2</v>
      </c>
      <c r="AK15" s="5">
        <v>481.89630891804001</v>
      </c>
      <c r="AL15" s="5"/>
      <c r="AM15" s="5">
        <v>296.32047</v>
      </c>
      <c r="AN15" s="5">
        <v>730</v>
      </c>
      <c r="AO15" s="5">
        <v>0</v>
      </c>
      <c r="AP15" s="5">
        <v>162</v>
      </c>
      <c r="AQ15" s="5">
        <v>2688</v>
      </c>
      <c r="AR15" s="5">
        <v>510</v>
      </c>
      <c r="AS15" s="5">
        <v>72</v>
      </c>
      <c r="AT15" s="5">
        <v>0</v>
      </c>
      <c r="AU15" s="5">
        <v>32</v>
      </c>
      <c r="AV15" s="5">
        <v>0.12987000000000001</v>
      </c>
      <c r="AW15" s="5">
        <v>1</v>
      </c>
      <c r="AX15" s="5">
        <v>3.3376600000000001</v>
      </c>
      <c r="AY15" t="s">
        <v>112</v>
      </c>
      <c r="AZ15" t="s">
        <v>1430</v>
      </c>
      <c r="BA15">
        <v>53.360723427101689</v>
      </c>
    </row>
    <row r="16" spans="1:53" x14ac:dyDescent="0.25">
      <c r="A16" s="5" t="s">
        <v>131</v>
      </c>
      <c r="B16" s="6">
        <v>46211</v>
      </c>
      <c r="C16" s="5" t="s">
        <v>101</v>
      </c>
      <c r="D16" s="5">
        <v>691955.13300000003</v>
      </c>
      <c r="E16" s="5">
        <v>6382589.7220000001</v>
      </c>
      <c r="F16" s="5">
        <v>4</v>
      </c>
      <c r="G16" s="5">
        <v>299.57781982421898</v>
      </c>
      <c r="H16" s="5">
        <v>625</v>
      </c>
      <c r="I16" s="5">
        <v>5</v>
      </c>
      <c r="J16" s="5">
        <v>21</v>
      </c>
      <c r="K16" s="5" t="s">
        <v>118</v>
      </c>
      <c r="L16" s="5">
        <v>5</v>
      </c>
      <c r="M16" s="5">
        <v>3</v>
      </c>
      <c r="N16" s="5" t="s">
        <v>126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 t="s">
        <v>103</v>
      </c>
      <c r="V16" s="5" t="s">
        <v>104</v>
      </c>
      <c r="W16" s="5" t="s">
        <v>105</v>
      </c>
      <c r="X16" s="5" t="s">
        <v>111</v>
      </c>
      <c r="Y16" s="5" t="s">
        <v>111</v>
      </c>
      <c r="Z16" s="5" t="str">
        <f>IF(ISNUMBER(MATCH(A16, TABLEAU_Floristique!B$1:DC$1, 0)), "OUI","NON")</f>
        <v>OUI</v>
      </c>
      <c r="AB16">
        <v>0.91500000000000004</v>
      </c>
      <c r="AC16">
        <v>0.75436999999999999</v>
      </c>
      <c r="AD16">
        <v>0.23093615694791531</v>
      </c>
      <c r="AE16">
        <v>0.31002338898349652</v>
      </c>
      <c r="AF16" s="5">
        <v>676.62211283185502</v>
      </c>
      <c r="AG16" s="5">
        <v>162.465143429824</v>
      </c>
      <c r="AH16" s="5">
        <v>2167.0894972627102</v>
      </c>
      <c r="AI16" s="5">
        <v>110.279339738098</v>
      </c>
      <c r="AJ16" s="5">
        <v>0.26911000000000002</v>
      </c>
      <c r="AK16" s="5">
        <v>235.94451630197301</v>
      </c>
      <c r="AL16" s="5">
        <v>122.36872</v>
      </c>
      <c r="AM16" s="5">
        <v>3474.4339199999999</v>
      </c>
      <c r="AN16" s="5">
        <v>669</v>
      </c>
      <c r="AO16" s="5">
        <v>0</v>
      </c>
      <c r="AP16" s="5">
        <v>254</v>
      </c>
      <c r="AQ16" s="5">
        <v>2762</v>
      </c>
      <c r="AR16" s="5">
        <v>507</v>
      </c>
      <c r="AS16" s="5">
        <v>97</v>
      </c>
      <c r="AT16" s="5">
        <v>6</v>
      </c>
      <c r="AU16" s="5">
        <v>54</v>
      </c>
      <c r="AV16" s="5">
        <v>0.52851000000000004</v>
      </c>
      <c r="AW16" s="5">
        <v>1.44645</v>
      </c>
      <c r="AX16" s="5">
        <v>4.9791400000000001</v>
      </c>
      <c r="AY16" t="s">
        <v>112</v>
      </c>
      <c r="AZ16" t="s">
        <v>1430</v>
      </c>
      <c r="BA16">
        <v>118.7174198377414</v>
      </c>
    </row>
    <row r="17" spans="1:53" x14ac:dyDescent="0.25">
      <c r="A17" s="5" t="s">
        <v>132</v>
      </c>
      <c r="B17" s="6">
        <v>46211</v>
      </c>
      <c r="C17" s="5" t="s">
        <v>101</v>
      </c>
      <c r="D17" s="5">
        <v>692082.48800000001</v>
      </c>
      <c r="E17" s="5">
        <v>6383426.6279999996</v>
      </c>
      <c r="F17" s="5">
        <v>5</v>
      </c>
      <c r="G17" s="5">
        <v>305.53765869140602</v>
      </c>
      <c r="H17" s="5">
        <v>720</v>
      </c>
      <c r="I17" s="5">
        <v>5</v>
      </c>
      <c r="J17" s="5">
        <v>24</v>
      </c>
      <c r="K17" s="5" t="s">
        <v>109</v>
      </c>
      <c r="L17" s="5">
        <v>5</v>
      </c>
      <c r="M17" s="5">
        <v>4</v>
      </c>
      <c r="N17" s="5" t="s">
        <v>126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 t="s">
        <v>103</v>
      </c>
      <c r="V17" s="5" t="s">
        <v>104</v>
      </c>
      <c r="W17" s="5" t="s">
        <v>105</v>
      </c>
      <c r="X17" s="5" t="s">
        <v>106</v>
      </c>
      <c r="Y17" s="5" t="s">
        <v>106</v>
      </c>
      <c r="Z17" s="5" t="str">
        <f>IF(ISNUMBER(MATCH(A17, TABLEAU_Floristique!B$1:DC$1, 0)), "OUI","NON")</f>
        <v>OUI</v>
      </c>
      <c r="AB17">
        <v>0.47827999999999998</v>
      </c>
      <c r="AC17">
        <v>0.53746000000000005</v>
      </c>
      <c r="AD17">
        <v>0.54507691061781349</v>
      </c>
      <c r="AE17">
        <v>0.47212840194511269</v>
      </c>
      <c r="AF17" s="5">
        <v>1326.3098644459301</v>
      </c>
      <c r="AG17" s="5">
        <v>381.07321780427202</v>
      </c>
      <c r="AH17" s="5">
        <v>1576.44422029782</v>
      </c>
      <c r="AI17" s="5">
        <v>257.54536479724499</v>
      </c>
      <c r="AJ17" s="5">
        <v>0.13678000000000001</v>
      </c>
      <c r="AK17" s="5">
        <v>382.856514803442</v>
      </c>
      <c r="AL17" s="5"/>
      <c r="AM17" s="5">
        <v>987.48594000000003</v>
      </c>
      <c r="AN17" s="5">
        <v>669</v>
      </c>
      <c r="AO17" s="5">
        <v>0</v>
      </c>
      <c r="AP17" s="5">
        <v>254</v>
      </c>
      <c r="AQ17" s="5">
        <v>2763</v>
      </c>
      <c r="AR17" s="5">
        <v>507</v>
      </c>
      <c r="AS17" s="5">
        <v>97</v>
      </c>
      <c r="AT17" s="5">
        <v>6</v>
      </c>
      <c r="AU17" s="5">
        <v>54</v>
      </c>
      <c r="AV17" s="5">
        <v>0.52851000000000004</v>
      </c>
      <c r="AW17" s="5">
        <v>1.44645</v>
      </c>
      <c r="AX17" s="5">
        <v>4.9791400000000001</v>
      </c>
      <c r="AY17" t="s">
        <v>112</v>
      </c>
      <c r="AZ17" t="s">
        <v>1430</v>
      </c>
      <c r="BA17">
        <v>17.515415508173341</v>
      </c>
    </row>
    <row r="18" spans="1:53" x14ac:dyDescent="0.25">
      <c r="A18" s="5" t="s">
        <v>133</v>
      </c>
      <c r="B18" s="6">
        <v>46121</v>
      </c>
      <c r="C18" s="5" t="s">
        <v>101</v>
      </c>
      <c r="D18" s="5">
        <v>698385.63899999997</v>
      </c>
      <c r="E18" s="5">
        <v>6385922.0240000002</v>
      </c>
      <c r="F18" s="5">
        <v>2</v>
      </c>
      <c r="G18" s="5">
        <v>199.79887390136699</v>
      </c>
      <c r="H18" s="5">
        <v>1024</v>
      </c>
      <c r="I18" s="5">
        <v>7</v>
      </c>
      <c r="K18" s="5" t="s">
        <v>102</v>
      </c>
      <c r="L18" s="5">
        <v>4</v>
      </c>
      <c r="M18" s="5">
        <v>3</v>
      </c>
      <c r="N18" s="5">
        <v>5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 t="s">
        <v>103</v>
      </c>
      <c r="V18" s="5" t="s">
        <v>104</v>
      </c>
      <c r="W18" s="5" t="s">
        <v>105</v>
      </c>
      <c r="X18" s="5" t="s">
        <v>116</v>
      </c>
      <c r="Y18" s="5" t="s">
        <v>111</v>
      </c>
      <c r="Z18" s="5" t="str">
        <f>IF(ISNUMBER(MATCH(A18, TABLEAU_Floristique!B$1:DC$1, 0)), "OUI","NON")</f>
        <v>OUI</v>
      </c>
      <c r="AB18">
        <v>0.81537999999999999</v>
      </c>
      <c r="AC18">
        <v>0.89144000000000001</v>
      </c>
      <c r="AD18">
        <v>0.19231888739566139</v>
      </c>
      <c r="AE18">
        <v>0.1321138468017776</v>
      </c>
      <c r="AF18" s="5">
        <v>179.81778351670701</v>
      </c>
      <c r="AG18" s="5">
        <v>200.49861170839</v>
      </c>
      <c r="AH18" s="5">
        <v>3878.85782013378</v>
      </c>
      <c r="AI18" s="5">
        <v>205.94531627843099</v>
      </c>
      <c r="AJ18" s="5">
        <v>0.36581000000000002</v>
      </c>
      <c r="AK18" s="5">
        <v>208.57513825216199</v>
      </c>
      <c r="AL18" s="5">
        <v>206.50210999999999</v>
      </c>
      <c r="AM18" s="5">
        <v>2045.98975</v>
      </c>
      <c r="AN18" s="5">
        <v>693</v>
      </c>
      <c r="AO18" s="5">
        <v>0</v>
      </c>
      <c r="AP18" s="5">
        <v>187</v>
      </c>
      <c r="AQ18" s="5">
        <v>2654</v>
      </c>
      <c r="AR18" s="5">
        <v>609</v>
      </c>
      <c r="AS18" s="5">
        <v>77</v>
      </c>
      <c r="AT18" s="5">
        <v>-8</v>
      </c>
      <c r="AU18" s="5">
        <v>36</v>
      </c>
      <c r="AV18" s="5">
        <v>0.12987000000000001</v>
      </c>
      <c r="AW18" s="5">
        <v>1</v>
      </c>
      <c r="AX18" s="5">
        <v>3.3376600000000001</v>
      </c>
      <c r="AY18" t="s">
        <v>112</v>
      </c>
      <c r="AZ18" t="s">
        <v>1430</v>
      </c>
      <c r="BA18">
        <v>27.907792764774321</v>
      </c>
    </row>
    <row r="19" spans="1:53" x14ac:dyDescent="0.25">
      <c r="A19" s="5" t="s">
        <v>134</v>
      </c>
      <c r="B19" s="6">
        <v>46114</v>
      </c>
      <c r="C19" s="5" t="s">
        <v>101</v>
      </c>
      <c r="D19" s="5">
        <v>690442.28599999996</v>
      </c>
      <c r="E19" s="5">
        <v>6412993.1960000005</v>
      </c>
      <c r="F19" s="5">
        <v>1</v>
      </c>
      <c r="G19" s="5">
        <v>147.09475708007801</v>
      </c>
      <c r="H19" s="5">
        <v>1041</v>
      </c>
      <c r="I19" s="5">
        <v>8</v>
      </c>
      <c r="K19" s="5" t="s">
        <v>118</v>
      </c>
      <c r="L19" s="5">
        <v>5</v>
      </c>
      <c r="M19" s="5">
        <v>2</v>
      </c>
      <c r="N19" s="5" t="s">
        <v>126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 t="s">
        <v>103</v>
      </c>
      <c r="V19" s="5" t="s">
        <v>104</v>
      </c>
      <c r="W19" s="5" t="s">
        <v>105</v>
      </c>
      <c r="X19" s="5" t="s">
        <v>106</v>
      </c>
      <c r="Y19" s="5" t="s">
        <v>106</v>
      </c>
      <c r="Z19" s="5" t="str">
        <f>IF(ISNUMBER(MATCH(A19, TABLEAU_Floristique!B$1:DC$1, 0)), "OUI","NON")</f>
        <v>OUI</v>
      </c>
      <c r="AB19">
        <v>1</v>
      </c>
      <c r="AC19">
        <v>0.96870999999999996</v>
      </c>
      <c r="AE19">
        <v>6.6121610290299726E-2</v>
      </c>
      <c r="AF19" s="5">
        <v>475.94067299639499</v>
      </c>
      <c r="AG19" s="5">
        <v>740.96709792800198</v>
      </c>
      <c r="AH19" s="5">
        <v>20663.332555263099</v>
      </c>
      <c r="AI19" s="5">
        <v>703.20027717047003</v>
      </c>
      <c r="AJ19" s="5">
        <v>0.48520999999999997</v>
      </c>
      <c r="AK19" s="5">
        <v>703.36630215830201</v>
      </c>
      <c r="AL19" s="5"/>
      <c r="AM19" s="5"/>
      <c r="AN19" s="5">
        <v>763</v>
      </c>
      <c r="AO19" s="5">
        <v>0</v>
      </c>
      <c r="AP19" s="5">
        <v>178</v>
      </c>
      <c r="AQ19" s="5">
        <v>2846</v>
      </c>
      <c r="AR19" s="5">
        <v>764</v>
      </c>
      <c r="AS19" s="5">
        <v>71</v>
      </c>
      <c r="AT19" s="5">
        <v>5</v>
      </c>
      <c r="AU19" s="5">
        <v>36</v>
      </c>
      <c r="AV19" s="5"/>
      <c r="AW19" s="5"/>
      <c r="AX19" s="5"/>
      <c r="AY19" t="s">
        <v>107</v>
      </c>
      <c r="AZ19" t="s">
        <v>1431</v>
      </c>
      <c r="BA19">
        <v>300.04237336135139</v>
      </c>
    </row>
    <row r="20" spans="1:53" x14ac:dyDescent="0.25">
      <c r="A20" s="5" t="s">
        <v>135</v>
      </c>
      <c r="B20" s="6">
        <v>46121</v>
      </c>
      <c r="C20" s="5" t="s">
        <v>101</v>
      </c>
      <c r="D20" s="5">
        <v>696277.20600000001</v>
      </c>
      <c r="E20" s="5">
        <v>6384989.9440000001</v>
      </c>
      <c r="F20" s="5">
        <v>5</v>
      </c>
      <c r="G20" s="5">
        <v>231.34019470214801</v>
      </c>
      <c r="H20" s="5">
        <v>909</v>
      </c>
      <c r="I20" s="5">
        <v>5</v>
      </c>
      <c r="K20" s="5" t="s">
        <v>115</v>
      </c>
      <c r="L20" s="5">
        <v>4</v>
      </c>
      <c r="M20" s="5">
        <v>5</v>
      </c>
      <c r="N20" s="5">
        <v>2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 t="s">
        <v>103</v>
      </c>
      <c r="V20" s="5" t="s">
        <v>104</v>
      </c>
      <c r="W20" s="5" t="s">
        <v>105</v>
      </c>
      <c r="X20" s="5" t="s">
        <v>106</v>
      </c>
      <c r="Y20" s="5" t="s">
        <v>106</v>
      </c>
      <c r="Z20" s="5" t="str">
        <f>IF(ISNUMBER(MATCH(A20, TABLEAU_Floristique!B$1:DC$1, 0)), "OUI","NON")</f>
        <v>OUI</v>
      </c>
      <c r="AB20">
        <v>0.93752000000000002</v>
      </c>
      <c r="AC20">
        <v>0.64300999999999997</v>
      </c>
      <c r="AD20">
        <v>6.2849212349134487E-2</v>
      </c>
      <c r="AE20">
        <v>0.39324667162855531</v>
      </c>
      <c r="AF20" s="5">
        <v>736.86606542082404</v>
      </c>
      <c r="AG20" s="5">
        <v>63.598943167456902</v>
      </c>
      <c r="AH20" s="5">
        <v>3150.53657840293</v>
      </c>
      <c r="AI20" s="5">
        <v>69.010947225726298</v>
      </c>
      <c r="AJ20" s="5">
        <v>0.40644999999999998</v>
      </c>
      <c r="AK20" s="5">
        <v>817.53624505085804</v>
      </c>
      <c r="AL20" s="5"/>
      <c r="AM20" s="5"/>
      <c r="AN20" s="5">
        <v>693</v>
      </c>
      <c r="AO20" s="5">
        <v>0</v>
      </c>
      <c r="AP20" s="5">
        <v>200</v>
      </c>
      <c r="AQ20" s="5">
        <v>2690</v>
      </c>
      <c r="AR20" s="5">
        <v>619</v>
      </c>
      <c r="AS20" s="5">
        <v>79</v>
      </c>
      <c r="AT20" s="5">
        <v>-2</v>
      </c>
      <c r="AU20" s="5">
        <v>39</v>
      </c>
      <c r="AV20" s="5">
        <v>0.12987000000000001</v>
      </c>
      <c r="AW20" s="5">
        <v>1</v>
      </c>
      <c r="AX20" s="5">
        <v>3.3376600000000001</v>
      </c>
      <c r="AY20" t="s">
        <v>112</v>
      </c>
      <c r="AZ20" t="s">
        <v>1430</v>
      </c>
      <c r="BA20">
        <v>183.07269819259241</v>
      </c>
    </row>
    <row r="21" spans="1:53" x14ac:dyDescent="0.25">
      <c r="A21" s="5" t="s">
        <v>136</v>
      </c>
      <c r="B21" s="6">
        <v>46122</v>
      </c>
      <c r="C21" s="5" t="s">
        <v>101</v>
      </c>
      <c r="D21" s="5">
        <v>686312.04200000002</v>
      </c>
      <c r="E21" s="5">
        <v>6408820.8899999997</v>
      </c>
      <c r="F21" s="5">
        <v>4</v>
      </c>
      <c r="G21" s="5">
        <v>41.633541107177699</v>
      </c>
      <c r="H21" s="5">
        <v>929</v>
      </c>
      <c r="I21" s="5">
        <v>5</v>
      </c>
      <c r="K21" s="5" t="s">
        <v>118</v>
      </c>
      <c r="L21" s="5">
        <v>5</v>
      </c>
      <c r="M21" s="5">
        <v>4</v>
      </c>
      <c r="N21" s="5" t="s">
        <v>126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 t="s">
        <v>103</v>
      </c>
      <c r="V21" s="5" t="s">
        <v>104</v>
      </c>
      <c r="W21" s="5" t="s">
        <v>105</v>
      </c>
      <c r="X21" s="5" t="s">
        <v>110</v>
      </c>
      <c r="Y21" s="5" t="s">
        <v>106</v>
      </c>
      <c r="Z21" s="5" t="str">
        <f>IF(ISNUMBER(MATCH(A21, TABLEAU_Floristique!B$1:DC$1, 0)), "OUI","NON")</f>
        <v>OUI</v>
      </c>
      <c r="AB21">
        <v>0.66293000000000002</v>
      </c>
      <c r="AC21">
        <v>0.48330000000000001</v>
      </c>
      <c r="AD21">
        <v>0.40048733374244028</v>
      </c>
      <c r="AE21">
        <v>0.61753703338829802</v>
      </c>
      <c r="AF21" s="5">
        <v>1135.50626782274</v>
      </c>
      <c r="AG21" s="5">
        <v>90.312428070511501</v>
      </c>
      <c r="AH21" s="5">
        <v>19470.488178919099</v>
      </c>
      <c r="AI21" s="5">
        <v>65.484296316043896</v>
      </c>
      <c r="AJ21" s="5">
        <v>0.33492</v>
      </c>
      <c r="AK21" s="5">
        <v>428.64784831383099</v>
      </c>
      <c r="AL21" s="5"/>
      <c r="AM21" s="5">
        <v>1798.6728900000001</v>
      </c>
      <c r="AN21" s="5">
        <v>794</v>
      </c>
      <c r="AO21" s="5">
        <v>0</v>
      </c>
      <c r="AP21" s="5">
        <v>185</v>
      </c>
      <c r="AQ21" s="5">
        <v>2958</v>
      </c>
      <c r="AR21" s="5">
        <v>561</v>
      </c>
      <c r="AS21" s="5">
        <v>77</v>
      </c>
      <c r="AT21" s="5">
        <v>-1</v>
      </c>
      <c r="AU21" s="5">
        <v>38</v>
      </c>
      <c r="AV21" s="5">
        <v>0.72789000000000004</v>
      </c>
      <c r="AW21" s="5">
        <v>6.4999999999999997E-3</v>
      </c>
      <c r="AX21" s="5">
        <v>5.1990000000000001E-2</v>
      </c>
      <c r="AY21" t="s">
        <v>107</v>
      </c>
      <c r="AZ21" t="s">
        <v>1427</v>
      </c>
      <c r="BA21">
        <v>74.559726066843581</v>
      </c>
    </row>
    <row r="22" spans="1:53" x14ac:dyDescent="0.25">
      <c r="A22" s="5" t="s">
        <v>137</v>
      </c>
      <c r="B22" s="6">
        <v>46126</v>
      </c>
      <c r="C22" s="5" t="s">
        <v>101</v>
      </c>
      <c r="D22" s="5">
        <v>696063.93200000003</v>
      </c>
      <c r="E22" s="5">
        <v>6383747.1770000001</v>
      </c>
      <c r="F22" s="5">
        <v>5</v>
      </c>
      <c r="G22" s="5">
        <v>239.62088012695301</v>
      </c>
      <c r="H22" s="5">
        <v>940</v>
      </c>
      <c r="I22" s="5">
        <v>6</v>
      </c>
      <c r="K22" s="5" t="s">
        <v>102</v>
      </c>
      <c r="L22" s="5">
        <v>5</v>
      </c>
      <c r="M22" s="5">
        <v>3</v>
      </c>
      <c r="N22" s="5">
        <v>2</v>
      </c>
      <c r="O22" s="5">
        <v>1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 t="s">
        <v>103</v>
      </c>
      <c r="V22" s="5" t="s">
        <v>104</v>
      </c>
      <c r="W22" s="5" t="s">
        <v>105</v>
      </c>
      <c r="X22" s="5" t="s">
        <v>138</v>
      </c>
      <c r="Y22" s="5" t="s">
        <v>139</v>
      </c>
      <c r="Z22" s="5" t="str">
        <f>IF(ISNUMBER(MATCH(A22, TABLEAU_Floristique!B$1:DC$1, 0)), "OUI","NON")</f>
        <v>OUI</v>
      </c>
      <c r="AB22">
        <v>0.76041000000000003</v>
      </c>
      <c r="AC22">
        <v>0.63819000000000004</v>
      </c>
      <c r="AD22">
        <v>0.2476948738078861</v>
      </c>
      <c r="AE22">
        <v>0.35895467868587488</v>
      </c>
      <c r="AF22" s="5">
        <v>796.09939953384503</v>
      </c>
      <c r="AG22" s="5">
        <v>608.23373947282005</v>
      </c>
      <c r="AH22" s="5">
        <v>3780.0646187186999</v>
      </c>
      <c r="AI22" s="5">
        <v>410.92874267041202</v>
      </c>
      <c r="AJ22" s="5">
        <v>0.36969000000000002</v>
      </c>
      <c r="AK22" s="5">
        <v>603.42376498854401</v>
      </c>
      <c r="AL22" s="5"/>
      <c r="AM22" s="5"/>
      <c r="AN22" s="5">
        <v>685</v>
      </c>
      <c r="AO22" s="5">
        <v>0</v>
      </c>
      <c r="AP22" s="5">
        <v>213</v>
      </c>
      <c r="AQ22" s="5">
        <v>2692</v>
      </c>
      <c r="AR22" s="5">
        <v>730</v>
      </c>
      <c r="AS22" s="5">
        <v>85</v>
      </c>
      <c r="AT22" s="5">
        <v>0</v>
      </c>
      <c r="AU22" s="5">
        <v>44</v>
      </c>
      <c r="AV22" s="5">
        <v>0.64295000000000002</v>
      </c>
      <c r="AW22" s="5">
        <v>0.81440000000000001</v>
      </c>
      <c r="AX22" s="5">
        <v>2.2074600000000002</v>
      </c>
      <c r="AY22" t="s">
        <v>112</v>
      </c>
      <c r="AZ22" t="s">
        <v>1430</v>
      </c>
      <c r="BA22">
        <v>70.724165928907567</v>
      </c>
    </row>
    <row r="23" spans="1:53" x14ac:dyDescent="0.25">
      <c r="A23" s="5" t="s">
        <v>140</v>
      </c>
      <c r="B23" s="6">
        <v>46126</v>
      </c>
      <c r="C23" s="5" t="s">
        <v>101</v>
      </c>
      <c r="D23" s="5">
        <v>695072.18099999998</v>
      </c>
      <c r="E23" s="5">
        <v>6383579.233</v>
      </c>
      <c r="F23" s="5">
        <v>4</v>
      </c>
      <c r="G23" s="5">
        <v>158.35556030273401</v>
      </c>
      <c r="H23" s="5">
        <v>865</v>
      </c>
      <c r="I23" s="5">
        <v>5</v>
      </c>
      <c r="K23" s="5" t="s">
        <v>115</v>
      </c>
      <c r="L23" s="5">
        <v>5</v>
      </c>
      <c r="M23" s="5">
        <v>5</v>
      </c>
      <c r="N23" s="5">
        <v>3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 t="s">
        <v>103</v>
      </c>
      <c r="V23" s="5" t="s">
        <v>104</v>
      </c>
      <c r="W23" s="5" t="s">
        <v>105</v>
      </c>
      <c r="X23" s="5" t="s">
        <v>111</v>
      </c>
      <c r="Y23" s="5" t="s">
        <v>111</v>
      </c>
      <c r="Z23" s="5" t="str">
        <f>IF(ISNUMBER(MATCH(A23, TABLEAU_Floristique!B$1:DC$1, 0)), "OUI","NON")</f>
        <v>OUI</v>
      </c>
      <c r="AB23">
        <v>0.99712999999999996</v>
      </c>
      <c r="AC23">
        <v>0.78998999999999997</v>
      </c>
      <c r="AD23">
        <v>5.95794691141614E-3</v>
      </c>
      <c r="AE23">
        <v>0.21459697123439231</v>
      </c>
      <c r="AF23" s="5">
        <v>1461.9578211596099</v>
      </c>
      <c r="AG23" s="5">
        <v>159.21278249373401</v>
      </c>
      <c r="AH23" s="5">
        <v>3357.0872663095001</v>
      </c>
      <c r="AI23" s="5">
        <v>348.97948542827498</v>
      </c>
      <c r="AJ23" s="5">
        <v>0.64795999999999998</v>
      </c>
      <c r="AK23" s="5">
        <v>1035.64797670339</v>
      </c>
      <c r="AL23" s="5"/>
      <c r="AM23" s="5"/>
      <c r="AN23" s="5">
        <v>695</v>
      </c>
      <c r="AO23" s="5">
        <v>0</v>
      </c>
      <c r="AP23" s="5">
        <v>209</v>
      </c>
      <c r="AQ23" s="5">
        <v>2710</v>
      </c>
      <c r="AR23" s="5">
        <v>701</v>
      </c>
      <c r="AS23" s="5">
        <v>77</v>
      </c>
      <c r="AT23" s="5">
        <v>9</v>
      </c>
      <c r="AU23" s="5">
        <v>41</v>
      </c>
      <c r="AV23" s="5">
        <v>0.12987000000000001</v>
      </c>
      <c r="AW23" s="5">
        <v>1</v>
      </c>
      <c r="AX23" s="5">
        <v>3.3376600000000001</v>
      </c>
      <c r="AY23" t="s">
        <v>112</v>
      </c>
      <c r="AZ23" t="s">
        <v>1430</v>
      </c>
      <c r="BA23">
        <v>235.60134517849031</v>
      </c>
    </row>
    <row r="24" spans="1:53" x14ac:dyDescent="0.25">
      <c r="A24" s="5" t="s">
        <v>141</v>
      </c>
      <c r="B24" s="6">
        <v>46122</v>
      </c>
      <c r="C24" s="5" t="s">
        <v>101</v>
      </c>
      <c r="D24" s="5">
        <v>694134.89399999997</v>
      </c>
      <c r="E24" s="5">
        <v>6384287.0970000001</v>
      </c>
      <c r="F24" s="5">
        <v>5</v>
      </c>
      <c r="G24" s="5">
        <v>170.53768920898401</v>
      </c>
      <c r="H24" s="5">
        <v>860</v>
      </c>
      <c r="I24" s="5">
        <v>5</v>
      </c>
      <c r="K24" s="5" t="s">
        <v>118</v>
      </c>
      <c r="L24" s="5">
        <v>5</v>
      </c>
      <c r="M24" s="5">
        <v>3</v>
      </c>
      <c r="N24" s="5">
        <v>5</v>
      </c>
      <c r="O24" s="5">
        <v>1</v>
      </c>
      <c r="P24" s="5">
        <v>0</v>
      </c>
      <c r="Q24" s="5">
        <v>0</v>
      </c>
      <c r="R24" s="5">
        <v>2</v>
      </c>
      <c r="S24" s="5">
        <v>0</v>
      </c>
      <c r="T24" s="5">
        <v>0</v>
      </c>
      <c r="U24" s="5" t="s">
        <v>104</v>
      </c>
      <c r="V24" s="5" t="s">
        <v>105</v>
      </c>
      <c r="W24" s="5" t="s">
        <v>103</v>
      </c>
      <c r="X24" s="5" t="s">
        <v>116</v>
      </c>
      <c r="Y24" s="5" t="s">
        <v>111</v>
      </c>
      <c r="Z24" s="5" t="str">
        <f>IF(ISNUMBER(MATCH(A24, TABLEAU_Floristique!B$1:DC$1, 0)), "OUI","NON")</f>
        <v>OUI</v>
      </c>
      <c r="AB24">
        <v>0.67452999999999996</v>
      </c>
      <c r="AC24">
        <v>0.50397999999999998</v>
      </c>
      <c r="AD24">
        <v>0.28469832874600443</v>
      </c>
      <c r="AE24">
        <v>0.44329229655820762</v>
      </c>
      <c r="AF24" s="5">
        <v>1547.71711518803</v>
      </c>
      <c r="AG24" s="5">
        <v>418.593959637458</v>
      </c>
      <c r="AH24" s="5">
        <v>2338.69548261814</v>
      </c>
      <c r="AI24" s="5">
        <v>105.10399226426</v>
      </c>
      <c r="AJ24" s="5">
        <v>0.24551999999999999</v>
      </c>
      <c r="AK24" s="5">
        <v>623.73617631534296</v>
      </c>
      <c r="AL24" s="5"/>
      <c r="AM24" s="5"/>
      <c r="AN24" s="5">
        <v>695</v>
      </c>
      <c r="AO24" s="5">
        <v>0</v>
      </c>
      <c r="AP24" s="5">
        <v>209</v>
      </c>
      <c r="AQ24" s="5">
        <v>2726</v>
      </c>
      <c r="AR24" s="5">
        <v>701</v>
      </c>
      <c r="AS24" s="5">
        <v>77</v>
      </c>
      <c r="AT24" s="5">
        <v>9</v>
      </c>
      <c r="AU24" s="5">
        <v>41</v>
      </c>
      <c r="AV24" s="5">
        <v>0.12987000000000001</v>
      </c>
      <c r="AW24" s="5">
        <v>1</v>
      </c>
      <c r="AX24" s="5">
        <v>3.3376600000000001</v>
      </c>
      <c r="AY24" t="s">
        <v>112</v>
      </c>
      <c r="AZ24" t="s">
        <v>1430</v>
      </c>
      <c r="BA24">
        <v>21.38184849341118</v>
      </c>
    </row>
    <row r="25" spans="1:53" x14ac:dyDescent="0.25">
      <c r="A25" s="5" t="s">
        <v>142</v>
      </c>
      <c r="B25" s="6">
        <v>46171</v>
      </c>
      <c r="C25" s="5" t="s">
        <v>114</v>
      </c>
      <c r="D25" s="5">
        <v>694384.76800000004</v>
      </c>
      <c r="E25" s="5">
        <v>6384563.6799999997</v>
      </c>
      <c r="F25" s="5">
        <v>3</v>
      </c>
      <c r="G25" s="5">
        <v>113.875282287598</v>
      </c>
      <c r="H25" s="5">
        <v>915</v>
      </c>
      <c r="I25" s="5">
        <v>7</v>
      </c>
      <c r="K25" s="5" t="s">
        <v>115</v>
      </c>
      <c r="L25" s="5">
        <v>5</v>
      </c>
      <c r="M25" s="5">
        <v>1</v>
      </c>
      <c r="N25" s="5">
        <v>4</v>
      </c>
      <c r="O25" s="5">
        <v>1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 t="s">
        <v>103</v>
      </c>
      <c r="V25" s="5" t="s">
        <v>104</v>
      </c>
      <c r="W25" s="5" t="s">
        <v>105</v>
      </c>
      <c r="X25" s="5" t="s">
        <v>116</v>
      </c>
      <c r="Y25" s="5" t="s">
        <v>111</v>
      </c>
      <c r="Z25" s="5" t="str">
        <f>IF(ISNUMBER(MATCH(A25, TABLEAU_Floristique!B$1:DC$1, 0)), "OUI","NON")</f>
        <v>OUI</v>
      </c>
      <c r="AB25">
        <v>0.53783000000000003</v>
      </c>
      <c r="AC25">
        <v>0.43841999999999998</v>
      </c>
      <c r="AD25">
        <v>0.48811237631053428</v>
      </c>
      <c r="AE25">
        <v>0.56978386352298238</v>
      </c>
      <c r="AF25" s="5">
        <v>1201.4830336812099</v>
      </c>
      <c r="AG25" s="5">
        <v>333.73801914742597</v>
      </c>
      <c r="AH25" s="5">
        <v>2174.6209805635299</v>
      </c>
      <c r="AI25" s="5">
        <v>101.271062087535</v>
      </c>
      <c r="AJ25" s="5">
        <v>0.13961999999999999</v>
      </c>
      <c r="AK25" s="5">
        <v>299.60644022443398</v>
      </c>
      <c r="AL25" s="5"/>
      <c r="AM25" s="5">
        <v>1629.9331199999999</v>
      </c>
      <c r="AN25" s="5">
        <v>702</v>
      </c>
      <c r="AO25" s="5">
        <v>0</v>
      </c>
      <c r="AP25" s="5">
        <v>202</v>
      </c>
      <c r="AQ25" s="5">
        <v>2726</v>
      </c>
      <c r="AR25" s="5">
        <v>661</v>
      </c>
      <c r="AS25" s="5">
        <v>74</v>
      </c>
      <c r="AT25" s="5">
        <v>9</v>
      </c>
      <c r="AU25" s="5">
        <v>39</v>
      </c>
      <c r="AV25" s="5">
        <v>0.12987000000000001</v>
      </c>
      <c r="AW25" s="5">
        <v>1</v>
      </c>
      <c r="AX25" s="5">
        <v>3.3376600000000001</v>
      </c>
      <c r="AY25" t="s">
        <v>112</v>
      </c>
      <c r="AZ25" t="s">
        <v>1430</v>
      </c>
      <c r="BA25">
        <v>32.666807048384392</v>
      </c>
    </row>
    <row r="26" spans="1:53" x14ac:dyDescent="0.25">
      <c r="A26" s="5" t="s">
        <v>143</v>
      </c>
      <c r="B26" s="6">
        <v>46121</v>
      </c>
      <c r="C26" s="5" t="s">
        <v>101</v>
      </c>
      <c r="D26" s="5">
        <v>698629.26</v>
      </c>
      <c r="E26" s="5">
        <v>6386288.8509999998</v>
      </c>
      <c r="F26" s="5">
        <v>3</v>
      </c>
      <c r="G26" s="5">
        <v>212.988525390625</v>
      </c>
      <c r="H26" s="5">
        <v>1078</v>
      </c>
      <c r="I26" s="5">
        <v>5</v>
      </c>
      <c r="K26" s="5" t="s">
        <v>115</v>
      </c>
      <c r="L26" s="5">
        <v>5</v>
      </c>
      <c r="M26" s="5">
        <v>4</v>
      </c>
      <c r="N26" s="5">
        <v>1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 t="s">
        <v>103</v>
      </c>
      <c r="V26" s="5" t="s">
        <v>104</v>
      </c>
      <c r="W26" s="5" t="s">
        <v>105</v>
      </c>
      <c r="X26" s="5" t="s">
        <v>106</v>
      </c>
      <c r="Y26" s="5" t="s">
        <v>106</v>
      </c>
      <c r="Z26" s="5" t="str">
        <f>IF(ISNUMBER(MATCH(A26, TABLEAU_Floristique!B$1:DC$1, 0)), "OUI","NON")</f>
        <v>OUI</v>
      </c>
      <c r="AB26">
        <v>0.97287999999999997</v>
      </c>
      <c r="AC26">
        <v>0.97882000000000002</v>
      </c>
      <c r="AE26">
        <v>1.846951534789645E-2</v>
      </c>
      <c r="AF26" s="5">
        <v>78.886875449939694</v>
      </c>
      <c r="AG26" s="5">
        <v>120.430848547979</v>
      </c>
      <c r="AH26" s="5">
        <v>3749.0616546871402</v>
      </c>
      <c r="AI26" s="5">
        <v>274.64291762473601</v>
      </c>
      <c r="AJ26" s="5">
        <v>0.86695999999999995</v>
      </c>
      <c r="AK26" s="5">
        <v>405.53325215210998</v>
      </c>
      <c r="AL26" s="5"/>
      <c r="AM26" s="5">
        <v>452.76611000000003</v>
      </c>
      <c r="AN26" s="5">
        <v>693</v>
      </c>
      <c r="AO26" s="5">
        <v>0</v>
      </c>
      <c r="AP26" s="5">
        <v>187</v>
      </c>
      <c r="AQ26" s="5">
        <v>2632</v>
      </c>
      <c r="AR26" s="5">
        <v>609</v>
      </c>
      <c r="AS26" s="5">
        <v>77</v>
      </c>
      <c r="AT26" s="5">
        <v>-8</v>
      </c>
      <c r="AU26" s="5">
        <v>36</v>
      </c>
      <c r="AV26" s="5">
        <v>0.12987000000000001</v>
      </c>
      <c r="AW26" s="5">
        <v>1</v>
      </c>
      <c r="AX26" s="5">
        <v>3.3376600000000001</v>
      </c>
      <c r="AY26" t="s">
        <v>112</v>
      </c>
      <c r="AZ26" t="s">
        <v>1430</v>
      </c>
      <c r="BA26">
        <v>334.27410698553058</v>
      </c>
    </row>
    <row r="27" spans="1:53" x14ac:dyDescent="0.25">
      <c r="A27" s="5" t="s">
        <v>144</v>
      </c>
      <c r="B27" s="6">
        <v>46122</v>
      </c>
      <c r="C27" s="5" t="s">
        <v>101</v>
      </c>
      <c r="D27" s="5">
        <v>693580.62600000005</v>
      </c>
      <c r="E27" s="5">
        <v>6383564.4630000005</v>
      </c>
      <c r="F27" s="5">
        <v>4</v>
      </c>
      <c r="G27" s="5">
        <v>90</v>
      </c>
      <c r="H27" s="5">
        <v>840</v>
      </c>
      <c r="I27" s="5">
        <v>6</v>
      </c>
      <c r="K27" s="5" t="s">
        <v>115</v>
      </c>
      <c r="L27" s="5">
        <v>5</v>
      </c>
      <c r="M27" s="5">
        <v>3</v>
      </c>
      <c r="N27" s="5">
        <v>1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 t="s">
        <v>103</v>
      </c>
      <c r="V27" s="5" t="s">
        <v>104</v>
      </c>
      <c r="W27" s="5" t="s">
        <v>105</v>
      </c>
      <c r="X27" s="5" t="s">
        <v>106</v>
      </c>
      <c r="Y27" s="5" t="s">
        <v>106</v>
      </c>
      <c r="Z27" s="5" t="str">
        <f>IF(ISNUMBER(MATCH(A27, TABLEAU_Floristique!B$1:DC$1, 0)), "OUI","NON")</f>
        <v>OUI</v>
      </c>
      <c r="AB27">
        <v>0.68730000000000002</v>
      </c>
      <c r="AC27">
        <v>0.58681000000000005</v>
      </c>
      <c r="AD27">
        <v>0.29367331976325589</v>
      </c>
      <c r="AE27">
        <v>0.38121118471288551</v>
      </c>
      <c r="AF27" s="5">
        <v>2391.4259541575602</v>
      </c>
      <c r="AG27" s="5">
        <v>86.665692674581095</v>
      </c>
      <c r="AH27" s="5">
        <v>2466.9993333665602</v>
      </c>
      <c r="AI27" s="5">
        <v>177.961507545442</v>
      </c>
      <c r="AJ27" s="5">
        <v>0.26826</v>
      </c>
      <c r="AK27" s="5">
        <v>156.304035769113</v>
      </c>
      <c r="AL27" s="5">
        <v>1693.0285100000001</v>
      </c>
      <c r="AM27" s="5">
        <v>4357.18228</v>
      </c>
      <c r="AN27" s="5">
        <v>693</v>
      </c>
      <c r="AO27" s="5">
        <v>0</v>
      </c>
      <c r="AP27" s="5">
        <v>216</v>
      </c>
      <c r="AQ27" s="5">
        <v>2745</v>
      </c>
      <c r="AR27" s="5">
        <v>591</v>
      </c>
      <c r="AS27" s="5">
        <v>79</v>
      </c>
      <c r="AT27" s="5">
        <v>8</v>
      </c>
      <c r="AU27" s="5">
        <v>43</v>
      </c>
      <c r="AV27" s="5">
        <v>0.12987000000000001</v>
      </c>
      <c r="AW27" s="5">
        <v>1</v>
      </c>
      <c r="AX27" s="5">
        <v>3.3376600000000001</v>
      </c>
      <c r="AY27" t="s">
        <v>112</v>
      </c>
      <c r="AZ27" t="s">
        <v>1430</v>
      </c>
      <c r="BA27">
        <v>76.44296591092683</v>
      </c>
    </row>
    <row r="28" spans="1:53" x14ac:dyDescent="0.25">
      <c r="A28" s="5" t="s">
        <v>145</v>
      </c>
      <c r="B28" s="6">
        <v>46126</v>
      </c>
      <c r="C28" s="5" t="s">
        <v>101</v>
      </c>
      <c r="D28" s="5">
        <v>694087.022</v>
      </c>
      <c r="E28" s="5">
        <v>6383451.0619999999</v>
      </c>
      <c r="F28" s="5">
        <v>4</v>
      </c>
      <c r="G28" s="5">
        <v>230.90614318847699</v>
      </c>
      <c r="H28" s="5">
        <v>858</v>
      </c>
      <c r="I28" s="5">
        <v>5</v>
      </c>
      <c r="K28" s="5" t="s">
        <v>118</v>
      </c>
      <c r="L28" s="5">
        <v>5</v>
      </c>
      <c r="M28" s="5">
        <v>3</v>
      </c>
      <c r="N28" s="5">
        <v>2</v>
      </c>
      <c r="O28" s="5">
        <v>1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 t="s">
        <v>103</v>
      </c>
      <c r="V28" s="5" t="s">
        <v>104</v>
      </c>
      <c r="W28" s="5" t="s">
        <v>105</v>
      </c>
      <c r="X28" s="5" t="s">
        <v>111</v>
      </c>
      <c r="Y28" s="5" t="s">
        <v>111</v>
      </c>
      <c r="Z28" s="5" t="str">
        <f>IF(ISNUMBER(MATCH(A28, TABLEAU_Floristique!B$1:DC$1, 0)), "OUI","NON")</f>
        <v>OUI</v>
      </c>
      <c r="AB28">
        <v>0.87871999999999995</v>
      </c>
      <c r="AC28">
        <v>0.7772</v>
      </c>
      <c r="AD28">
        <v>0.1223139772660439</v>
      </c>
      <c r="AE28">
        <v>0.2266271022244595</v>
      </c>
      <c r="AF28" s="5">
        <v>1973.75880094992</v>
      </c>
      <c r="AG28" s="5">
        <v>401.39036202684503</v>
      </c>
      <c r="AH28" s="5">
        <v>2880.4518270559001</v>
      </c>
      <c r="AI28" s="5">
        <v>270.40888859949501</v>
      </c>
      <c r="AJ28" s="5">
        <v>0.35787999999999998</v>
      </c>
      <c r="AK28" s="5">
        <v>607.94930605111006</v>
      </c>
      <c r="AL28" s="5"/>
      <c r="AM28" s="5"/>
      <c r="AN28" s="5">
        <v>681</v>
      </c>
      <c r="AO28" s="5">
        <v>0</v>
      </c>
      <c r="AP28" s="5">
        <v>230</v>
      </c>
      <c r="AQ28" s="5">
        <v>2727</v>
      </c>
      <c r="AR28" s="5">
        <v>576</v>
      </c>
      <c r="AS28" s="5">
        <v>87</v>
      </c>
      <c r="AT28" s="5">
        <v>5</v>
      </c>
      <c r="AU28" s="5">
        <v>47</v>
      </c>
      <c r="AV28" s="5">
        <v>0.12987000000000001</v>
      </c>
      <c r="AW28" s="5">
        <v>1</v>
      </c>
      <c r="AX28" s="5">
        <v>3.3376600000000001</v>
      </c>
      <c r="AY28" t="s">
        <v>112</v>
      </c>
      <c r="AZ28" t="s">
        <v>1430</v>
      </c>
      <c r="BA28">
        <v>103.80450552834</v>
      </c>
    </row>
    <row r="29" spans="1:53" x14ac:dyDescent="0.25">
      <c r="A29" s="5" t="s">
        <v>146</v>
      </c>
      <c r="B29" s="6">
        <v>46127</v>
      </c>
      <c r="C29" s="5" t="s">
        <v>101</v>
      </c>
      <c r="D29" s="5">
        <v>691063.04200000002</v>
      </c>
      <c r="E29" s="5">
        <v>6383527.8779999996</v>
      </c>
      <c r="F29" s="5">
        <v>4</v>
      </c>
      <c r="G29" s="5">
        <v>156.47679138183599</v>
      </c>
      <c r="H29" s="5">
        <v>767</v>
      </c>
      <c r="I29" s="5">
        <v>6</v>
      </c>
      <c r="K29" s="5" t="s">
        <v>102</v>
      </c>
      <c r="L29" s="5">
        <v>5</v>
      </c>
      <c r="M29" s="5">
        <v>2</v>
      </c>
      <c r="N29" s="5">
        <v>4</v>
      </c>
      <c r="O29" s="5">
        <v>1</v>
      </c>
      <c r="P29" s="5">
        <v>0</v>
      </c>
      <c r="Q29" s="5">
        <v>0</v>
      </c>
      <c r="R29" s="5">
        <v>2</v>
      </c>
      <c r="S29" s="5">
        <v>0</v>
      </c>
      <c r="T29" s="5">
        <v>0</v>
      </c>
      <c r="U29" s="5" t="s">
        <v>104</v>
      </c>
      <c r="V29" s="5" t="s">
        <v>103</v>
      </c>
      <c r="W29" s="5" t="s">
        <v>105</v>
      </c>
      <c r="X29" s="5" t="s">
        <v>116</v>
      </c>
      <c r="Y29" s="5" t="s">
        <v>111</v>
      </c>
      <c r="Z29" s="5" t="str">
        <f>IF(ISNUMBER(MATCH(A29, TABLEAU_Floristique!B$1:DC$1, 0)), "OUI","NON")</f>
        <v>NON</v>
      </c>
      <c r="AB29">
        <v>0.50007000000000001</v>
      </c>
      <c r="AC29">
        <v>0.44653999999999999</v>
      </c>
      <c r="AD29">
        <v>0.48855850260978873</v>
      </c>
      <c r="AE29">
        <v>0.51684936369150436</v>
      </c>
      <c r="AF29" s="5">
        <v>1205.24238252996</v>
      </c>
      <c r="AG29" s="5">
        <v>152.86614829482801</v>
      </c>
      <c r="AH29" s="5">
        <v>977.83231836477205</v>
      </c>
      <c r="AI29" s="5">
        <v>524.80160656010696</v>
      </c>
      <c r="AJ29" s="5">
        <v>0.11219999999999999</v>
      </c>
      <c r="AK29" s="5">
        <v>359.93503059364599</v>
      </c>
      <c r="AL29" s="5"/>
      <c r="AM29" s="5">
        <v>5745.01998</v>
      </c>
      <c r="AN29" s="5">
        <v>681</v>
      </c>
      <c r="AO29" s="5">
        <v>0</v>
      </c>
      <c r="AP29" s="5">
        <v>248</v>
      </c>
      <c r="AQ29" s="5">
        <v>2789</v>
      </c>
      <c r="AR29" s="5">
        <v>483</v>
      </c>
      <c r="AS29" s="5">
        <v>87</v>
      </c>
      <c r="AT29" s="5">
        <v>12</v>
      </c>
      <c r="AU29" s="5">
        <v>50</v>
      </c>
      <c r="AV29" s="5">
        <v>0.52851000000000004</v>
      </c>
      <c r="AW29" s="5">
        <v>1.44645</v>
      </c>
      <c r="AX29" s="5">
        <v>4.9791400000000001</v>
      </c>
      <c r="AY29" t="s">
        <v>112</v>
      </c>
      <c r="AZ29" t="s">
        <v>1430</v>
      </c>
      <c r="BA29">
        <v>51.92800254245369</v>
      </c>
    </row>
    <row r="30" spans="1:53" x14ac:dyDescent="0.25">
      <c r="A30" s="5" t="s">
        <v>147</v>
      </c>
      <c r="B30" s="6">
        <v>46171</v>
      </c>
      <c r="C30" s="5" t="s">
        <v>114</v>
      </c>
      <c r="D30" s="5">
        <v>690378.48100000003</v>
      </c>
      <c r="E30" s="5">
        <v>6382869.0779999997</v>
      </c>
      <c r="F30" s="5">
        <v>3</v>
      </c>
      <c r="G30" s="5">
        <v>96.499343872070298</v>
      </c>
      <c r="H30" s="5">
        <v>727</v>
      </c>
      <c r="I30" s="5">
        <v>5</v>
      </c>
      <c r="J30" s="5">
        <v>24</v>
      </c>
      <c r="K30" s="5" t="s">
        <v>118</v>
      </c>
      <c r="L30" s="5">
        <v>5</v>
      </c>
      <c r="M30" s="5">
        <v>3</v>
      </c>
      <c r="N30" s="5">
        <v>1</v>
      </c>
      <c r="O30" s="5">
        <v>0</v>
      </c>
      <c r="P30" s="5">
        <v>1</v>
      </c>
      <c r="Q30" s="5">
        <v>0</v>
      </c>
      <c r="R30" s="5">
        <v>0</v>
      </c>
      <c r="S30" s="5">
        <v>0</v>
      </c>
      <c r="T30" s="5">
        <v>0</v>
      </c>
      <c r="U30" s="5" t="s">
        <v>103</v>
      </c>
      <c r="V30" s="5" t="s">
        <v>104</v>
      </c>
      <c r="W30" s="5" t="s">
        <v>105</v>
      </c>
      <c r="X30" s="5" t="s">
        <v>119</v>
      </c>
      <c r="Y30" s="5" t="s">
        <v>111</v>
      </c>
      <c r="Z30" s="5" t="str">
        <f>IF(ISNUMBER(MATCH(A30, TABLEAU_Floristique!B$1:DC$1, 0)), "OUI","NON")</f>
        <v>OUI</v>
      </c>
      <c r="AB30">
        <v>0.27340999999999999</v>
      </c>
      <c r="AC30">
        <v>0.28872999999999999</v>
      </c>
      <c r="AD30">
        <v>0.71803503972761018</v>
      </c>
      <c r="AE30">
        <v>0.68988626963449329</v>
      </c>
      <c r="AF30" s="5">
        <v>877.58464904792004</v>
      </c>
      <c r="AG30" s="5">
        <v>13.6665429552482</v>
      </c>
      <c r="AH30" s="5">
        <v>1330.0158369322901</v>
      </c>
      <c r="AI30" s="5">
        <v>488.90680895761801</v>
      </c>
      <c r="AJ30" s="5">
        <v>0.18776999999999999</v>
      </c>
      <c r="AK30" s="5">
        <v>325.84384088865698</v>
      </c>
      <c r="AL30" s="5"/>
      <c r="AM30" s="5">
        <v>3212.8109300000001</v>
      </c>
      <c r="AN30" s="5">
        <v>681</v>
      </c>
      <c r="AO30" s="5">
        <v>0</v>
      </c>
      <c r="AP30" s="5">
        <v>248</v>
      </c>
      <c r="AQ30" s="5">
        <v>2800</v>
      </c>
      <c r="AR30" s="5">
        <v>483</v>
      </c>
      <c r="AS30" s="5">
        <v>87</v>
      </c>
      <c r="AT30" s="5">
        <v>12</v>
      </c>
      <c r="AU30" s="5">
        <v>50</v>
      </c>
      <c r="AV30" s="5">
        <v>0.52851000000000004</v>
      </c>
      <c r="AW30" s="5">
        <v>1.44645</v>
      </c>
      <c r="AX30" s="5">
        <v>4.9791400000000001</v>
      </c>
      <c r="AY30" t="s">
        <v>112</v>
      </c>
      <c r="AZ30" t="s">
        <v>1430</v>
      </c>
      <c r="BA30">
        <v>17.165527318514759</v>
      </c>
    </row>
    <row r="31" spans="1:53" x14ac:dyDescent="0.25">
      <c r="A31" s="5" t="s">
        <v>148</v>
      </c>
      <c r="B31" s="6">
        <v>46127</v>
      </c>
      <c r="C31" s="5" t="s">
        <v>101</v>
      </c>
      <c r="D31" s="5">
        <v>689631.79399999999</v>
      </c>
      <c r="E31" s="5">
        <v>6384628.0630000001</v>
      </c>
      <c r="F31" s="5">
        <v>5</v>
      </c>
      <c r="G31" s="5">
        <v>331.63879394531301</v>
      </c>
      <c r="H31" s="5">
        <v>776</v>
      </c>
      <c r="I31" s="5">
        <v>6</v>
      </c>
      <c r="K31" s="5" t="s">
        <v>115</v>
      </c>
      <c r="L31" s="5">
        <v>5</v>
      </c>
      <c r="M31" s="5">
        <v>4</v>
      </c>
      <c r="N31" s="5">
        <v>2</v>
      </c>
      <c r="O31" s="5">
        <v>1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 t="s">
        <v>103</v>
      </c>
      <c r="V31" s="5" t="s">
        <v>105</v>
      </c>
      <c r="W31" s="5" t="s">
        <v>104</v>
      </c>
      <c r="X31" s="5" t="s">
        <v>106</v>
      </c>
      <c r="Y31" s="5" t="s">
        <v>106</v>
      </c>
      <c r="Z31" s="5" t="str">
        <f>IF(ISNUMBER(MATCH(A31, TABLEAU_Floristique!B$1:DC$1, 0)), "OUI","NON")</f>
        <v>OUI</v>
      </c>
      <c r="AB31">
        <v>0.69626999999999994</v>
      </c>
      <c r="AC31">
        <v>0.56518999999999997</v>
      </c>
      <c r="AD31">
        <v>0.30664047757317758</v>
      </c>
      <c r="AE31">
        <v>0.41111869179725657</v>
      </c>
      <c r="AF31" s="5">
        <v>1249.0105495172199</v>
      </c>
      <c r="AG31" s="5">
        <v>311.38141371136402</v>
      </c>
      <c r="AH31" s="5">
        <v>312.18505315947601</v>
      </c>
      <c r="AI31" s="5">
        <v>280.26234460764499</v>
      </c>
      <c r="AJ31" s="5">
        <v>0.50963000000000003</v>
      </c>
      <c r="AK31" s="5">
        <v>277.71549723618301</v>
      </c>
      <c r="AL31" s="5"/>
      <c r="AM31" s="5">
        <v>6211.40906</v>
      </c>
      <c r="AN31" s="5">
        <v>709</v>
      </c>
      <c r="AO31" s="5">
        <v>0</v>
      </c>
      <c r="AP31" s="5">
        <v>229</v>
      </c>
      <c r="AQ31" s="5">
        <v>2809</v>
      </c>
      <c r="AR31" s="5">
        <v>475</v>
      </c>
      <c r="AS31" s="5">
        <v>92</v>
      </c>
      <c r="AT31" s="5">
        <v>7</v>
      </c>
      <c r="AU31" s="5">
        <v>50</v>
      </c>
      <c r="AV31" s="5">
        <v>0.52851000000000004</v>
      </c>
      <c r="AW31" s="5">
        <v>1.44645</v>
      </c>
      <c r="AX31" s="5">
        <v>4.9791400000000001</v>
      </c>
      <c r="AY31" t="s">
        <v>112</v>
      </c>
      <c r="AZ31" t="s">
        <v>1430</v>
      </c>
      <c r="BA31">
        <v>72.414664295034171</v>
      </c>
    </row>
    <row r="32" spans="1:53" x14ac:dyDescent="0.25">
      <c r="A32" s="5" t="s">
        <v>149</v>
      </c>
      <c r="B32" s="6">
        <v>46128</v>
      </c>
      <c r="C32" s="5" t="s">
        <v>101</v>
      </c>
      <c r="D32" s="5">
        <v>688134.33700000006</v>
      </c>
      <c r="E32" s="5">
        <v>6383045.2960000001</v>
      </c>
      <c r="F32" s="5">
        <v>2</v>
      </c>
      <c r="G32" s="5">
        <v>259.508544921875</v>
      </c>
      <c r="H32" s="5">
        <v>583</v>
      </c>
      <c r="I32" s="5">
        <v>5</v>
      </c>
      <c r="K32" s="5" t="s">
        <v>115</v>
      </c>
      <c r="L32" s="5">
        <v>5</v>
      </c>
      <c r="M32" s="5">
        <v>4</v>
      </c>
      <c r="N32" s="5">
        <v>1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 t="s">
        <v>103</v>
      </c>
      <c r="V32" s="5" t="s">
        <v>104</v>
      </c>
      <c r="W32" s="5" t="s">
        <v>105</v>
      </c>
      <c r="X32" s="5" t="s">
        <v>111</v>
      </c>
      <c r="Y32" s="5" t="s">
        <v>111</v>
      </c>
      <c r="Z32" s="5" t="str">
        <f>IF(ISNUMBER(MATCH(A32, TABLEAU_Floristique!B$1:DC$1, 0)), "OUI","NON")</f>
        <v>OUI</v>
      </c>
      <c r="AB32">
        <v>0.98231999999999997</v>
      </c>
      <c r="AC32">
        <v>0.86180000000000001</v>
      </c>
      <c r="AD32">
        <v>1.8715094737898931E-2</v>
      </c>
      <c r="AE32">
        <v>0.13492257623419321</v>
      </c>
      <c r="AF32" s="5">
        <v>758.20031323192097</v>
      </c>
      <c r="AG32" s="5">
        <v>118.201554917702</v>
      </c>
      <c r="AH32" s="5">
        <v>632.81600617074503</v>
      </c>
      <c r="AI32" s="5">
        <v>234.58495089146101</v>
      </c>
      <c r="AJ32" s="5">
        <v>0.52246999999999999</v>
      </c>
      <c r="AK32" s="5">
        <v>258.80679663614001</v>
      </c>
      <c r="AL32" s="5"/>
      <c r="AM32" s="5">
        <v>113.24753</v>
      </c>
      <c r="AN32" s="5">
        <v>694</v>
      </c>
      <c r="AO32" s="5">
        <v>0</v>
      </c>
      <c r="AP32" s="5">
        <v>248</v>
      </c>
      <c r="AQ32" s="5">
        <v>2841</v>
      </c>
      <c r="AR32" s="5">
        <v>463</v>
      </c>
      <c r="AS32" s="5">
        <v>96</v>
      </c>
      <c r="AT32" s="5">
        <v>12</v>
      </c>
      <c r="AU32" s="5">
        <v>54</v>
      </c>
      <c r="AV32" s="5">
        <v>0.52851000000000004</v>
      </c>
      <c r="AW32" s="5">
        <v>1.44645</v>
      </c>
      <c r="AX32" s="5">
        <v>4.9791400000000001</v>
      </c>
      <c r="AY32" t="s">
        <v>112</v>
      </c>
      <c r="AZ32" t="s">
        <v>1430</v>
      </c>
      <c r="BA32">
        <v>196.42533641301009</v>
      </c>
    </row>
    <row r="33" spans="1:53" x14ac:dyDescent="0.25">
      <c r="A33" s="5" t="s">
        <v>150</v>
      </c>
      <c r="B33" s="6">
        <v>46128</v>
      </c>
      <c r="C33" s="5" t="s">
        <v>101</v>
      </c>
      <c r="D33" s="5">
        <v>690019.72699999996</v>
      </c>
      <c r="E33" s="5">
        <v>6381273.1040000003</v>
      </c>
      <c r="F33" s="5">
        <v>3</v>
      </c>
      <c r="G33" s="5">
        <v>26.916553497314499</v>
      </c>
      <c r="H33" s="5">
        <v>512</v>
      </c>
      <c r="I33" s="5">
        <v>6</v>
      </c>
      <c r="K33" s="5" t="s">
        <v>115</v>
      </c>
      <c r="L33" s="5">
        <v>5</v>
      </c>
      <c r="M33" s="5">
        <v>5</v>
      </c>
      <c r="N33" s="5">
        <v>1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 t="s">
        <v>103</v>
      </c>
      <c r="V33" s="5" t="s">
        <v>104</v>
      </c>
      <c r="W33" s="5" t="s">
        <v>105</v>
      </c>
      <c r="X33" s="5" t="s">
        <v>111</v>
      </c>
      <c r="Y33" s="5" t="s">
        <v>111</v>
      </c>
      <c r="Z33" s="5" t="str">
        <f>IF(ISNUMBER(MATCH(A33, TABLEAU_Floristique!B$1:DC$1, 0)), "OUI","NON")</f>
        <v>OUI</v>
      </c>
      <c r="AB33">
        <v>0.46445999999999998</v>
      </c>
      <c r="AC33">
        <v>0.35308</v>
      </c>
      <c r="AD33">
        <v>0.50091821120739466</v>
      </c>
      <c r="AE33">
        <v>0.60942908202901236</v>
      </c>
      <c r="AF33" s="5">
        <v>286.90186643656</v>
      </c>
      <c r="AG33" s="5">
        <v>263.16907748616802</v>
      </c>
      <c r="AH33" s="5">
        <v>1904.7000263915099</v>
      </c>
      <c r="AI33" s="5">
        <v>75.160602578839104</v>
      </c>
      <c r="AJ33" s="5">
        <v>0.23153000000000001</v>
      </c>
      <c r="AK33" s="5">
        <v>211.598873212938</v>
      </c>
      <c r="AL33" s="5">
        <v>698.14682000000005</v>
      </c>
      <c r="AM33" s="5">
        <v>3783.0854599999998</v>
      </c>
      <c r="AN33" s="5">
        <v>667</v>
      </c>
      <c r="AO33" s="5">
        <v>0</v>
      </c>
      <c r="AP33" s="5">
        <v>267</v>
      </c>
      <c r="AQ33" s="5">
        <v>2799</v>
      </c>
      <c r="AR33" s="5">
        <v>517</v>
      </c>
      <c r="AS33" s="5">
        <v>100</v>
      </c>
      <c r="AT33" s="5">
        <v>15</v>
      </c>
      <c r="AU33" s="5">
        <v>58</v>
      </c>
      <c r="AV33" s="5">
        <v>0.52851000000000004</v>
      </c>
      <c r="AW33" s="5">
        <v>1.44645</v>
      </c>
      <c r="AX33" s="5">
        <v>4.9791400000000001</v>
      </c>
      <c r="AY33" t="s">
        <v>112</v>
      </c>
      <c r="AZ33" t="s">
        <v>1430</v>
      </c>
      <c r="BA33">
        <v>53.777443537096318</v>
      </c>
    </row>
    <row r="34" spans="1:53" x14ac:dyDescent="0.25">
      <c r="A34" s="5" t="s">
        <v>151</v>
      </c>
      <c r="B34" s="6">
        <v>46122</v>
      </c>
      <c r="C34" s="5" t="s">
        <v>101</v>
      </c>
      <c r="D34" s="5">
        <v>686331.47400000005</v>
      </c>
      <c r="E34" s="5">
        <v>6408208.6310000001</v>
      </c>
      <c r="F34" s="5">
        <v>2</v>
      </c>
      <c r="G34" s="5">
        <v>322.125</v>
      </c>
      <c r="H34" s="5">
        <v>984</v>
      </c>
      <c r="I34" s="5">
        <v>5</v>
      </c>
      <c r="K34" s="5" t="s">
        <v>102</v>
      </c>
      <c r="L34" s="5">
        <v>5</v>
      </c>
      <c r="M34" s="5">
        <v>2</v>
      </c>
      <c r="N34" s="5">
        <v>5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 t="s">
        <v>103</v>
      </c>
      <c r="V34" s="5" t="s">
        <v>104</v>
      </c>
      <c r="W34" s="5" t="s">
        <v>105</v>
      </c>
      <c r="X34" s="5" t="s">
        <v>106</v>
      </c>
      <c r="Y34" s="5" t="s">
        <v>106</v>
      </c>
      <c r="Z34" s="5" t="str">
        <f>IF(ISNUMBER(MATCH(A34, TABLEAU_Floristique!B$1:DC$1, 0)), "OUI","NON")</f>
        <v>OUI</v>
      </c>
      <c r="AB34">
        <v>0.86360999999999999</v>
      </c>
      <c r="AC34">
        <v>0.49370000000000003</v>
      </c>
      <c r="AD34">
        <v>0.17070539892435529</v>
      </c>
      <c r="AE34">
        <v>0.56712822162373544</v>
      </c>
      <c r="AF34" s="5">
        <v>1253.3564899251601</v>
      </c>
      <c r="AG34" s="5">
        <v>332.26158736272401</v>
      </c>
      <c r="AH34" s="5">
        <v>19004.302232611401</v>
      </c>
      <c r="AI34" s="5">
        <v>590.58128198961504</v>
      </c>
      <c r="AJ34" s="5">
        <v>0.34542</v>
      </c>
      <c r="AK34" s="5">
        <v>849.44390587987903</v>
      </c>
      <c r="AL34" s="5"/>
      <c r="AM34" s="5"/>
      <c r="AN34" s="5">
        <v>800</v>
      </c>
      <c r="AO34" s="5">
        <v>0</v>
      </c>
      <c r="AP34" s="5">
        <v>178</v>
      </c>
      <c r="AQ34" s="5">
        <v>2958</v>
      </c>
      <c r="AR34" s="5">
        <v>494</v>
      </c>
      <c r="AS34" s="5">
        <v>73</v>
      </c>
      <c r="AT34" s="5">
        <v>3</v>
      </c>
      <c r="AU34" s="5">
        <v>36</v>
      </c>
      <c r="AV34" s="5">
        <v>0.72789000000000004</v>
      </c>
      <c r="AW34" s="5">
        <v>6.4999999999999997E-3</v>
      </c>
      <c r="AX34" s="5">
        <v>5.1990000000000001E-2</v>
      </c>
      <c r="AY34" t="s">
        <v>107</v>
      </c>
      <c r="AZ34" t="s">
        <v>1427</v>
      </c>
      <c r="BA34">
        <v>136.88495204749461</v>
      </c>
    </row>
    <row r="35" spans="1:53" x14ac:dyDescent="0.25">
      <c r="A35" s="5" t="s">
        <v>152</v>
      </c>
      <c r="B35" s="6">
        <v>46141</v>
      </c>
      <c r="C35" s="5" t="s">
        <v>101</v>
      </c>
      <c r="D35" s="5">
        <v>689779.92099999997</v>
      </c>
      <c r="E35" s="5">
        <v>6380027.6399999997</v>
      </c>
      <c r="F35" s="5">
        <v>4</v>
      </c>
      <c r="G35" s="5">
        <v>88.264297485351605</v>
      </c>
      <c r="H35" s="5">
        <v>493</v>
      </c>
      <c r="I35" s="5">
        <v>5</v>
      </c>
      <c r="J35" s="5">
        <v>19</v>
      </c>
      <c r="K35" s="5" t="s">
        <v>109</v>
      </c>
      <c r="L35" s="5">
        <v>5</v>
      </c>
      <c r="M35" s="5">
        <v>5</v>
      </c>
      <c r="N35" s="5">
        <v>2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 t="s">
        <v>103</v>
      </c>
      <c r="V35" s="5" t="s">
        <v>104</v>
      </c>
      <c r="W35" s="5" t="s">
        <v>105</v>
      </c>
      <c r="X35" s="5" t="s">
        <v>111</v>
      </c>
      <c r="Y35" s="5" t="s">
        <v>111</v>
      </c>
      <c r="Z35" s="5" t="str">
        <f>IF(ISNUMBER(MATCH(A35, TABLEAU_Floristique!B$1:DC$1, 0)), "OUI","NON")</f>
        <v>OUI</v>
      </c>
      <c r="AB35">
        <v>0.54161000000000004</v>
      </c>
      <c r="AC35">
        <v>0.44296999999999997</v>
      </c>
      <c r="AD35">
        <v>0.45721891883691379</v>
      </c>
      <c r="AE35">
        <v>0.51669898291737293</v>
      </c>
      <c r="AF35" s="5">
        <v>493.077341235983</v>
      </c>
      <c r="AG35" s="5">
        <v>224.443795282959</v>
      </c>
      <c r="AH35" s="5">
        <v>2225.7848256294001</v>
      </c>
      <c r="AI35" s="5">
        <v>427.52401855247001</v>
      </c>
      <c r="AJ35" s="5">
        <v>0.19939000000000001</v>
      </c>
      <c r="AK35" s="5">
        <v>208.51503840513701</v>
      </c>
      <c r="AL35" s="5">
        <v>726.66016000000002</v>
      </c>
      <c r="AM35" s="5">
        <v>2793.7336399999999</v>
      </c>
      <c r="AN35" s="5">
        <v>664</v>
      </c>
      <c r="AO35" s="5">
        <v>0</v>
      </c>
      <c r="AP35" s="5">
        <v>269</v>
      </c>
      <c r="AQ35" s="5">
        <v>2794</v>
      </c>
      <c r="AR35" s="5">
        <v>549</v>
      </c>
      <c r="AS35" s="5">
        <v>101</v>
      </c>
      <c r="AT35" s="5">
        <v>16</v>
      </c>
      <c r="AU35" s="5">
        <v>59</v>
      </c>
      <c r="AV35" s="5">
        <v>0.52851000000000004</v>
      </c>
      <c r="AW35" s="5">
        <v>1.44645</v>
      </c>
      <c r="AX35" s="5">
        <v>4.9791400000000001</v>
      </c>
      <c r="AY35" t="s">
        <v>112</v>
      </c>
      <c r="AZ35" t="s">
        <v>1430</v>
      </c>
      <c r="BA35">
        <v>73.840680149803077</v>
      </c>
    </row>
    <row r="36" spans="1:53" x14ac:dyDescent="0.25">
      <c r="A36" s="5" t="s">
        <v>153</v>
      </c>
      <c r="B36" s="6">
        <v>46141</v>
      </c>
      <c r="C36" s="5" t="s">
        <v>101</v>
      </c>
      <c r="D36" s="5">
        <v>689372.78599999996</v>
      </c>
      <c r="E36" s="5">
        <v>6379576.8849999998</v>
      </c>
      <c r="F36" s="5">
        <v>3</v>
      </c>
      <c r="G36" s="5">
        <v>255.96376037597699</v>
      </c>
      <c r="H36" s="5">
        <v>484</v>
      </c>
      <c r="I36" s="5">
        <v>3</v>
      </c>
      <c r="J36" s="5">
        <v>19</v>
      </c>
      <c r="K36" s="5" t="s">
        <v>115</v>
      </c>
      <c r="L36" s="5">
        <v>5</v>
      </c>
      <c r="M36" s="5">
        <v>4</v>
      </c>
      <c r="N36" s="5">
        <v>5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 t="s">
        <v>103</v>
      </c>
      <c r="V36" s="5" t="s">
        <v>104</v>
      </c>
      <c r="W36" s="5" t="s">
        <v>105</v>
      </c>
      <c r="X36" s="5" t="s">
        <v>111</v>
      </c>
      <c r="Y36" s="5" t="s">
        <v>111</v>
      </c>
      <c r="Z36" s="5" t="str">
        <f>IF(ISNUMBER(MATCH(A36, TABLEAU_Floristique!B$1:DC$1, 0)), "OUI","NON")</f>
        <v>OUI</v>
      </c>
      <c r="AB36">
        <v>0.46360000000000001</v>
      </c>
      <c r="AC36">
        <v>0.45223000000000002</v>
      </c>
      <c r="AD36">
        <v>0.50450854438564807</v>
      </c>
      <c r="AE36">
        <v>0.4900042062389347</v>
      </c>
      <c r="AF36" s="5">
        <v>264.84236391471302</v>
      </c>
      <c r="AG36" s="5">
        <v>201.88565139744099</v>
      </c>
      <c r="AH36" s="5">
        <v>2148.3612710811299</v>
      </c>
      <c r="AI36" s="5">
        <v>313.365798422512</v>
      </c>
      <c r="AJ36" s="5">
        <v>9.6570000000000003E-2</v>
      </c>
      <c r="AK36" s="5">
        <v>248.06784237616</v>
      </c>
      <c r="AL36" s="5">
        <v>0.83957000000000004</v>
      </c>
      <c r="AM36" s="5">
        <v>5583.5848299999998</v>
      </c>
      <c r="AN36" s="5">
        <v>664</v>
      </c>
      <c r="AO36" s="5">
        <v>0</v>
      </c>
      <c r="AP36" s="5">
        <v>269</v>
      </c>
      <c r="AQ36" s="5">
        <v>2815</v>
      </c>
      <c r="AR36" s="5">
        <v>549</v>
      </c>
      <c r="AS36" s="5">
        <v>101</v>
      </c>
      <c r="AT36" s="5">
        <v>16</v>
      </c>
      <c r="AU36" s="5">
        <v>59</v>
      </c>
      <c r="AV36" s="5">
        <v>0.52851000000000004</v>
      </c>
      <c r="AW36" s="5">
        <v>1.44645</v>
      </c>
      <c r="AX36" s="5">
        <v>4.9791400000000001</v>
      </c>
      <c r="AY36" t="s">
        <v>112</v>
      </c>
      <c r="AZ36" t="s">
        <v>1430</v>
      </c>
      <c r="BA36">
        <v>53.186124327672758</v>
      </c>
    </row>
    <row r="37" spans="1:53" x14ac:dyDescent="0.25">
      <c r="A37" s="5" t="s">
        <v>154</v>
      </c>
      <c r="B37" s="6">
        <v>46141</v>
      </c>
      <c r="C37" s="5" t="s">
        <v>101</v>
      </c>
      <c r="D37" s="5">
        <v>691265.255</v>
      </c>
      <c r="E37" s="5">
        <v>6381583.125</v>
      </c>
      <c r="F37" s="5">
        <v>4</v>
      </c>
      <c r="G37" s="5">
        <v>315</v>
      </c>
      <c r="H37" s="5">
        <v>531</v>
      </c>
      <c r="I37" s="5">
        <v>5</v>
      </c>
      <c r="J37" s="5">
        <v>26</v>
      </c>
      <c r="K37" s="5" t="s">
        <v>109</v>
      </c>
      <c r="L37" s="5">
        <v>5</v>
      </c>
      <c r="M37" s="5">
        <v>4</v>
      </c>
      <c r="N37" s="5">
        <v>2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 t="s">
        <v>103</v>
      </c>
      <c r="V37" s="5" t="s">
        <v>104</v>
      </c>
      <c r="W37" s="5" t="s">
        <v>105</v>
      </c>
      <c r="X37" s="5" t="s">
        <v>119</v>
      </c>
      <c r="Y37" s="5" t="s">
        <v>111</v>
      </c>
      <c r="Z37" s="5" t="str">
        <f>IF(ISNUMBER(MATCH(A37, TABLEAU_Floristique!B$1:DC$1, 0)), "OUI","NON")</f>
        <v>OUI</v>
      </c>
      <c r="AB37">
        <v>0.63988</v>
      </c>
      <c r="AC37">
        <v>0.58135000000000003</v>
      </c>
      <c r="AD37">
        <v>0.32199884808181428</v>
      </c>
      <c r="AE37">
        <v>0.3686445631474376</v>
      </c>
      <c r="AF37" s="5">
        <v>30.998248545064499</v>
      </c>
      <c r="AG37" s="5">
        <v>233.316944626729</v>
      </c>
      <c r="AH37" s="5">
        <v>2721.3188780455298</v>
      </c>
      <c r="AI37" s="5">
        <v>104.509543344584</v>
      </c>
      <c r="AJ37" s="5">
        <v>0.20516000000000001</v>
      </c>
      <c r="AK37" s="5">
        <v>130.51980974173</v>
      </c>
      <c r="AL37" s="5">
        <v>211.83152999999999</v>
      </c>
      <c r="AM37" s="5">
        <v>7070.3847699999997</v>
      </c>
      <c r="AN37" s="5">
        <v>668</v>
      </c>
      <c r="AO37" s="5">
        <v>0</v>
      </c>
      <c r="AP37" s="5">
        <v>254</v>
      </c>
      <c r="AQ37" s="5">
        <v>2779</v>
      </c>
      <c r="AR37" s="5">
        <v>523</v>
      </c>
      <c r="AS37" s="5">
        <v>102</v>
      </c>
      <c r="AT37" s="5">
        <v>9</v>
      </c>
      <c r="AU37" s="5">
        <v>57</v>
      </c>
      <c r="AV37" s="5">
        <v>0.52851000000000004</v>
      </c>
      <c r="AW37" s="5">
        <v>1.44645</v>
      </c>
      <c r="AX37" s="5">
        <v>4.9791400000000001</v>
      </c>
      <c r="AY37" t="s">
        <v>112</v>
      </c>
      <c r="AZ37" t="s">
        <v>1430</v>
      </c>
      <c r="BA37">
        <v>73.414703227478554</v>
      </c>
    </row>
    <row r="38" spans="1:53" x14ac:dyDescent="0.25">
      <c r="A38" s="5" t="s">
        <v>155</v>
      </c>
      <c r="B38" s="6">
        <v>46128</v>
      </c>
      <c r="C38" s="5" t="s">
        <v>101</v>
      </c>
      <c r="D38" s="5">
        <v>693165.85699999996</v>
      </c>
      <c r="E38" s="5">
        <v>6382070.0120000001</v>
      </c>
      <c r="F38" s="5">
        <v>5</v>
      </c>
      <c r="G38" s="5">
        <v>90.498214721679702</v>
      </c>
      <c r="H38" s="5">
        <v>635</v>
      </c>
      <c r="I38" s="5">
        <v>4</v>
      </c>
      <c r="K38" s="5" t="s">
        <v>102</v>
      </c>
      <c r="L38" s="5">
        <v>5</v>
      </c>
      <c r="M38" s="5">
        <v>2</v>
      </c>
      <c r="N38" s="5">
        <v>2</v>
      </c>
      <c r="O38" s="5">
        <v>1</v>
      </c>
      <c r="P38" s="5">
        <v>0</v>
      </c>
      <c r="Q38" s="5">
        <v>0</v>
      </c>
      <c r="R38" s="5">
        <v>1</v>
      </c>
      <c r="S38" s="5">
        <v>0</v>
      </c>
      <c r="T38" s="5">
        <v>0</v>
      </c>
      <c r="U38" s="5" t="s">
        <v>103</v>
      </c>
      <c r="V38" s="5" t="s">
        <v>104</v>
      </c>
      <c r="W38" s="5" t="s">
        <v>105</v>
      </c>
      <c r="X38" s="5" t="s">
        <v>138</v>
      </c>
      <c r="Y38" s="5" t="s">
        <v>139</v>
      </c>
      <c r="Z38" s="5" t="str">
        <f>IF(ISNUMBER(MATCH(A38, TABLEAU_Floristique!B$1:DC$1, 0)), "OUI","NON")</f>
        <v>OUI</v>
      </c>
      <c r="AB38">
        <v>0.96380999999999994</v>
      </c>
      <c r="AC38">
        <v>0.75997999999999999</v>
      </c>
      <c r="AD38">
        <v>5.5644607206327232E-2</v>
      </c>
      <c r="AE38">
        <v>0.21949678475739759</v>
      </c>
      <c r="AF38" s="5">
        <v>1142.8734708586201</v>
      </c>
      <c r="AG38" s="5">
        <v>48.595754221063999</v>
      </c>
      <c r="AH38" s="5">
        <v>3303.0684066477102</v>
      </c>
      <c r="AI38" s="5">
        <v>58.632841892252102</v>
      </c>
      <c r="AJ38" s="5">
        <v>0.21304000000000001</v>
      </c>
      <c r="AK38" s="5">
        <v>166.46122489338899</v>
      </c>
      <c r="AL38" s="5">
        <v>597.45662000000004</v>
      </c>
      <c r="AM38" s="5">
        <v>996.94206999999994</v>
      </c>
      <c r="AN38" s="5">
        <v>674</v>
      </c>
      <c r="AO38" s="5">
        <v>0</v>
      </c>
      <c r="AP38" s="5">
        <v>237</v>
      </c>
      <c r="AQ38" s="5">
        <v>2745</v>
      </c>
      <c r="AR38" s="5">
        <v>565</v>
      </c>
      <c r="AS38" s="5">
        <v>95</v>
      </c>
      <c r="AT38" s="5">
        <v>6</v>
      </c>
      <c r="AU38" s="5">
        <v>51</v>
      </c>
      <c r="AV38" s="5">
        <v>0.52851000000000004</v>
      </c>
      <c r="AW38" s="5">
        <v>1.44645</v>
      </c>
      <c r="AX38" s="5">
        <v>4.9791400000000001</v>
      </c>
      <c r="AY38" t="s">
        <v>112</v>
      </c>
      <c r="AZ38" t="s">
        <v>1430</v>
      </c>
      <c r="BA38">
        <v>152.8575814049903</v>
      </c>
    </row>
    <row r="39" spans="1:53" x14ac:dyDescent="0.25">
      <c r="A39" s="5" t="s">
        <v>156</v>
      </c>
      <c r="B39" s="6">
        <v>46128</v>
      </c>
      <c r="C39" s="5" t="s">
        <v>101</v>
      </c>
      <c r="D39" s="5">
        <v>689040.94</v>
      </c>
      <c r="E39" s="5">
        <v>6380515.0369999995</v>
      </c>
      <c r="F39" s="5">
        <v>2</v>
      </c>
      <c r="G39" s="5">
        <v>14.7435607910156</v>
      </c>
      <c r="H39" s="5">
        <v>519</v>
      </c>
      <c r="I39" s="5">
        <v>7</v>
      </c>
      <c r="K39" s="5" t="s">
        <v>115</v>
      </c>
      <c r="L39" s="5">
        <v>5</v>
      </c>
      <c r="M39" s="5">
        <v>3</v>
      </c>
      <c r="N39" s="5">
        <v>3</v>
      </c>
      <c r="O39" s="5">
        <v>0</v>
      </c>
      <c r="P39" s="5">
        <v>0</v>
      </c>
      <c r="Q39" s="5">
        <v>0</v>
      </c>
      <c r="R39" s="5">
        <v>1</v>
      </c>
      <c r="S39" s="5">
        <v>0</v>
      </c>
      <c r="T39" s="5">
        <v>0</v>
      </c>
      <c r="U39" s="5" t="s">
        <v>103</v>
      </c>
      <c r="V39" s="5" t="s">
        <v>104</v>
      </c>
      <c r="W39" s="5" t="s">
        <v>105</v>
      </c>
      <c r="X39" s="5" t="s">
        <v>116</v>
      </c>
      <c r="Y39" s="5" t="s">
        <v>111</v>
      </c>
      <c r="Z39" s="5" t="str">
        <f>IF(ISNUMBER(MATCH(A39, TABLEAU_Floristique!B$1:DC$1, 0)), "OUI","NON")</f>
        <v>OUI</v>
      </c>
      <c r="AB39">
        <v>0.22137000000000001</v>
      </c>
      <c r="AC39">
        <v>0.12798999999999999</v>
      </c>
      <c r="AD39">
        <v>0.73962320809484938</v>
      </c>
      <c r="AE39">
        <v>0.80732224497588656</v>
      </c>
      <c r="AF39" s="5">
        <v>217.89541107857599</v>
      </c>
      <c r="AG39" s="5">
        <v>255.41424897540401</v>
      </c>
      <c r="AH39" s="5">
        <v>1349.92727720366</v>
      </c>
      <c r="AI39" s="5">
        <v>391.05580083781098</v>
      </c>
      <c r="AJ39" s="5"/>
      <c r="AK39" s="5">
        <v>291.55150894689598</v>
      </c>
      <c r="AL39" s="5"/>
      <c r="AM39" s="5">
        <v>6405.5041300000003</v>
      </c>
      <c r="AN39" s="5">
        <v>666</v>
      </c>
      <c r="AO39" s="5">
        <v>0</v>
      </c>
      <c r="AP39" s="5">
        <v>274</v>
      </c>
      <c r="AQ39" s="5">
        <v>2817</v>
      </c>
      <c r="AR39" s="5">
        <v>534</v>
      </c>
      <c r="AS39" s="5">
        <v>102</v>
      </c>
      <c r="AT39" s="5">
        <v>17</v>
      </c>
      <c r="AU39" s="5">
        <v>61</v>
      </c>
      <c r="AV39" s="5">
        <v>0.52851000000000004</v>
      </c>
      <c r="AW39" s="5">
        <v>1.44645</v>
      </c>
      <c r="AX39" s="5">
        <v>4.9791400000000001</v>
      </c>
      <c r="AY39" t="s">
        <v>112</v>
      </c>
      <c r="AZ39" t="s">
        <v>1430</v>
      </c>
      <c r="BA39">
        <v>40.21701595275011</v>
      </c>
    </row>
    <row r="40" spans="1:53" x14ac:dyDescent="0.25">
      <c r="A40" s="5" t="s">
        <v>157</v>
      </c>
      <c r="B40" s="6">
        <v>46127</v>
      </c>
      <c r="C40" s="5" t="s">
        <v>101</v>
      </c>
      <c r="D40" s="5">
        <v>690821.8</v>
      </c>
      <c r="E40" s="5">
        <v>6382835</v>
      </c>
      <c r="F40" s="5">
        <v>4</v>
      </c>
      <c r="G40" s="5">
        <v>256.07904052734398</v>
      </c>
      <c r="H40" s="5">
        <v>660</v>
      </c>
      <c r="I40" s="5">
        <v>6</v>
      </c>
      <c r="K40" s="5" t="s">
        <v>118</v>
      </c>
      <c r="L40" s="5">
        <v>5</v>
      </c>
      <c r="M40" s="5">
        <v>4</v>
      </c>
      <c r="N40" s="5">
        <v>2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 t="s">
        <v>103</v>
      </c>
      <c r="V40" s="5" t="s">
        <v>104</v>
      </c>
      <c r="W40" s="5" t="s">
        <v>105</v>
      </c>
      <c r="X40" s="5" t="s">
        <v>119</v>
      </c>
      <c r="Y40" s="5" t="s">
        <v>111</v>
      </c>
      <c r="Z40" s="5" t="str">
        <f>IF(ISNUMBER(MATCH(A40, TABLEAU_Floristique!B$1:DC$1, 0)), "OUI","NON")</f>
        <v>OUI</v>
      </c>
      <c r="AB40">
        <v>0.53283000000000003</v>
      </c>
      <c r="AC40">
        <v>0.44457000000000002</v>
      </c>
      <c r="AD40">
        <v>0.4394542736920381</v>
      </c>
      <c r="AE40">
        <v>0.53167401787175517</v>
      </c>
      <c r="AF40" s="5">
        <v>681.42295969537201</v>
      </c>
      <c r="AG40" s="5">
        <v>80.718784359968296</v>
      </c>
      <c r="AH40" s="5">
        <v>1663.9151440657499</v>
      </c>
      <c r="AI40" s="5">
        <v>236.09023698633899</v>
      </c>
      <c r="AJ40" s="5">
        <v>0.26407000000000003</v>
      </c>
      <c r="AK40" s="5">
        <v>75.132216791102906</v>
      </c>
      <c r="AL40" s="5">
        <v>79.723100000000002</v>
      </c>
      <c r="AM40" s="5">
        <v>3304.9209799999999</v>
      </c>
      <c r="AN40" s="5">
        <v>681</v>
      </c>
      <c r="AO40" s="5">
        <v>0</v>
      </c>
      <c r="AP40" s="5">
        <v>248</v>
      </c>
      <c r="AQ40" s="5">
        <v>2782</v>
      </c>
      <c r="AR40" s="5">
        <v>483</v>
      </c>
      <c r="AS40" s="5">
        <v>87</v>
      </c>
      <c r="AT40" s="5">
        <v>12</v>
      </c>
      <c r="AU40" s="5">
        <v>50</v>
      </c>
      <c r="AV40" s="5">
        <v>0.52851000000000004</v>
      </c>
      <c r="AW40" s="5">
        <v>1.44645</v>
      </c>
      <c r="AX40" s="5">
        <v>4.9791400000000001</v>
      </c>
      <c r="AY40" t="s">
        <v>112</v>
      </c>
      <c r="AZ40" t="s">
        <v>1430</v>
      </c>
      <c r="BA40">
        <v>31.520165341010181</v>
      </c>
    </row>
    <row r="41" spans="1:53" x14ac:dyDescent="0.25">
      <c r="A41" s="5" t="s">
        <v>158</v>
      </c>
      <c r="B41" s="6">
        <v>46195</v>
      </c>
      <c r="C41" s="5" t="s">
        <v>101</v>
      </c>
      <c r="D41" s="5">
        <v>696986.63800000004</v>
      </c>
      <c r="E41" s="5">
        <v>6389527.6270000003</v>
      </c>
      <c r="F41" s="5">
        <v>2</v>
      </c>
      <c r="G41" s="5">
        <v>142.90716552734401</v>
      </c>
      <c r="H41" s="5">
        <v>1119</v>
      </c>
      <c r="I41" s="5">
        <v>2</v>
      </c>
      <c r="J41" s="5">
        <v>16</v>
      </c>
      <c r="K41" s="5" t="s">
        <v>115</v>
      </c>
      <c r="L41" s="5">
        <v>5</v>
      </c>
      <c r="M41" s="5">
        <v>2</v>
      </c>
      <c r="N41" s="5">
        <v>3</v>
      </c>
      <c r="O41" s="5">
        <v>0</v>
      </c>
      <c r="P41" s="5">
        <v>0</v>
      </c>
      <c r="Q41" s="5">
        <v>0</v>
      </c>
      <c r="R41" s="5">
        <v>1</v>
      </c>
      <c r="S41" s="5">
        <v>0</v>
      </c>
      <c r="T41" s="5">
        <v>0</v>
      </c>
      <c r="U41" s="5" t="s">
        <v>103</v>
      </c>
      <c r="V41" s="5" t="s">
        <v>104</v>
      </c>
      <c r="W41" s="5" t="s">
        <v>105</v>
      </c>
      <c r="X41" s="5" t="s">
        <v>106</v>
      </c>
      <c r="Y41" s="5" t="s">
        <v>106</v>
      </c>
      <c r="Z41" s="5" t="str">
        <f>IF(ISNUMBER(MATCH(A41, TABLEAU_Floristique!B$1:DC$1, 0)), "OUI","NON")</f>
        <v>OUI</v>
      </c>
      <c r="AA41" s="7" t="s">
        <v>159</v>
      </c>
      <c r="AB41">
        <v>0.71328999999999998</v>
      </c>
      <c r="AC41">
        <v>0.40275</v>
      </c>
      <c r="AD41">
        <v>0.36659643620017113</v>
      </c>
      <c r="AE41">
        <v>0.6029802949297266</v>
      </c>
      <c r="AF41" s="5">
        <v>274.96627093791801</v>
      </c>
      <c r="AG41" s="5">
        <v>156.17597165694599</v>
      </c>
      <c r="AH41" s="5">
        <v>424.94166178638801</v>
      </c>
      <c r="AI41" s="5">
        <v>392.16722169771998</v>
      </c>
      <c r="AJ41" s="5"/>
      <c r="AK41" s="5">
        <v>229.38134791866199</v>
      </c>
      <c r="AL41" s="5">
        <v>177.51503</v>
      </c>
      <c r="AM41" s="5">
        <v>189.60602</v>
      </c>
      <c r="AN41" s="5">
        <v>700</v>
      </c>
      <c r="AO41" s="5">
        <v>0</v>
      </c>
      <c r="AP41" s="5">
        <v>191</v>
      </c>
      <c r="AQ41" s="5">
        <v>2663</v>
      </c>
      <c r="AR41" s="5">
        <v>437</v>
      </c>
      <c r="AS41" s="5">
        <v>77</v>
      </c>
      <c r="AT41" s="5">
        <v>-9</v>
      </c>
      <c r="AU41" s="5">
        <v>37</v>
      </c>
      <c r="AV41" s="5">
        <v>0.12987000000000001</v>
      </c>
      <c r="AW41" s="5">
        <v>1</v>
      </c>
      <c r="AX41" s="5">
        <v>3.3376600000000001</v>
      </c>
      <c r="AY41" t="s">
        <v>112</v>
      </c>
      <c r="AZ41" t="s">
        <v>1429</v>
      </c>
      <c r="BA41">
        <v>117.4797564389996</v>
      </c>
    </row>
    <row r="42" spans="1:53" x14ac:dyDescent="0.25">
      <c r="A42" s="5" t="s">
        <v>160</v>
      </c>
      <c r="B42" s="6">
        <v>46195</v>
      </c>
      <c r="C42" s="5" t="s">
        <v>101</v>
      </c>
      <c r="D42" s="5">
        <v>697069.68799999997</v>
      </c>
      <c r="E42" s="5">
        <v>6389495.7230000002</v>
      </c>
      <c r="F42" s="5">
        <v>2</v>
      </c>
      <c r="G42" s="5">
        <v>135</v>
      </c>
      <c r="H42" s="5">
        <v>1098</v>
      </c>
      <c r="I42" s="5">
        <v>5</v>
      </c>
      <c r="J42" s="5">
        <v>9</v>
      </c>
      <c r="K42" s="5" t="s">
        <v>109</v>
      </c>
      <c r="L42" s="5">
        <v>2</v>
      </c>
      <c r="M42" s="5">
        <v>5</v>
      </c>
      <c r="N42" s="5">
        <v>3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 t="s">
        <v>103</v>
      </c>
      <c r="V42" s="5" t="s">
        <v>104</v>
      </c>
      <c r="W42" s="5" t="s">
        <v>105</v>
      </c>
      <c r="X42" s="5" t="s">
        <v>111</v>
      </c>
      <c r="Y42" s="5" t="s">
        <v>111</v>
      </c>
      <c r="Z42" s="5" t="str">
        <f>IF(ISNUMBER(MATCH(A42, TABLEAU_Floristique!B$1:DC$1, 0)), "OUI","NON")</f>
        <v>OUI</v>
      </c>
      <c r="AB42">
        <v>0.76249999999999996</v>
      </c>
      <c r="AC42">
        <v>0.41099000000000002</v>
      </c>
      <c r="AD42">
        <v>0.33085087908508021</v>
      </c>
      <c r="AE42">
        <v>0.59307572788028362</v>
      </c>
      <c r="AF42" s="5">
        <v>191.665535589916</v>
      </c>
      <c r="AG42" s="5">
        <v>111.244575036855</v>
      </c>
      <c r="AH42" s="5">
        <v>506.25097239241001</v>
      </c>
      <c r="AI42" s="5">
        <v>309.14282439039999</v>
      </c>
      <c r="AJ42" s="5"/>
      <c r="AK42" s="5">
        <v>280.68699982885602</v>
      </c>
      <c r="AL42" s="5"/>
      <c r="AM42" s="5">
        <v>1681.5450499999999</v>
      </c>
      <c r="AN42" s="5">
        <v>700</v>
      </c>
      <c r="AO42" s="5">
        <v>0</v>
      </c>
      <c r="AP42" s="5">
        <v>191</v>
      </c>
      <c r="AQ42" s="5">
        <v>2663</v>
      </c>
      <c r="AR42" s="5">
        <v>437</v>
      </c>
      <c r="AS42" s="5">
        <v>77</v>
      </c>
      <c r="AT42" s="5">
        <v>-9</v>
      </c>
      <c r="AU42" s="5">
        <v>37</v>
      </c>
      <c r="AV42" s="5">
        <v>0.12987000000000001</v>
      </c>
      <c r="AW42" s="5">
        <v>1</v>
      </c>
      <c r="AX42" s="5">
        <v>3.3376600000000001</v>
      </c>
      <c r="AY42" t="s">
        <v>112</v>
      </c>
      <c r="AZ42" t="s">
        <v>1429</v>
      </c>
      <c r="BA42">
        <v>45.941143792928791</v>
      </c>
    </row>
    <row r="43" spans="1:53" x14ac:dyDescent="0.25">
      <c r="A43" s="5" t="s">
        <v>161</v>
      </c>
      <c r="B43" s="6">
        <v>46141</v>
      </c>
      <c r="C43" s="5" t="s">
        <v>101</v>
      </c>
      <c r="D43" s="5">
        <v>690717.21</v>
      </c>
      <c r="E43" s="5">
        <v>6379931.4500000002</v>
      </c>
      <c r="F43" s="5">
        <v>3</v>
      </c>
      <c r="G43" s="5">
        <v>274.76364135742199</v>
      </c>
      <c r="H43" s="5">
        <v>541</v>
      </c>
      <c r="I43" s="5">
        <v>5</v>
      </c>
      <c r="J43" s="5">
        <v>21</v>
      </c>
      <c r="K43" s="5" t="s">
        <v>109</v>
      </c>
      <c r="L43" s="5">
        <v>5</v>
      </c>
      <c r="M43" s="5">
        <v>4</v>
      </c>
      <c r="N43" s="5">
        <v>3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 t="s">
        <v>103</v>
      </c>
      <c r="V43" s="5" t="s">
        <v>104</v>
      </c>
      <c r="W43" s="5" t="s">
        <v>105</v>
      </c>
      <c r="X43" s="5" t="s">
        <v>119</v>
      </c>
      <c r="Y43" s="5" t="s">
        <v>111</v>
      </c>
      <c r="Z43" s="5" t="str">
        <f>IF(ISNUMBER(MATCH(A43, TABLEAU_Floristique!B$1:DC$1, 0)), "OUI","NON")</f>
        <v>OUI</v>
      </c>
      <c r="AB43">
        <v>0.72248000000000001</v>
      </c>
      <c r="AC43">
        <v>0.67286000000000001</v>
      </c>
      <c r="AD43">
        <v>0.26593871297040478</v>
      </c>
      <c r="AE43">
        <v>0.32825636494085952</v>
      </c>
      <c r="AF43" s="5">
        <v>546.68254279802602</v>
      </c>
      <c r="AG43" s="5">
        <v>33.700721060609801</v>
      </c>
      <c r="AH43" s="5">
        <v>3097.3025256332598</v>
      </c>
      <c r="AI43" s="5">
        <v>417.872682285135</v>
      </c>
      <c r="AJ43" s="5">
        <v>0.14402000000000001</v>
      </c>
      <c r="AK43" s="5">
        <v>256.47552436831398</v>
      </c>
      <c r="AL43" s="5"/>
      <c r="AM43" s="5">
        <v>2778.9717599999999</v>
      </c>
      <c r="AN43" s="5">
        <v>674</v>
      </c>
      <c r="AO43" s="5">
        <v>0</v>
      </c>
      <c r="AP43" s="5">
        <v>253</v>
      </c>
      <c r="AQ43" s="5">
        <v>2774</v>
      </c>
      <c r="AR43" s="5">
        <v>460</v>
      </c>
      <c r="AS43" s="5">
        <v>100</v>
      </c>
      <c r="AT43" s="5">
        <v>15</v>
      </c>
      <c r="AU43" s="5">
        <v>57</v>
      </c>
      <c r="AV43" s="5">
        <v>0.52851000000000004</v>
      </c>
      <c r="AW43" s="5">
        <v>1.44645</v>
      </c>
      <c r="AX43" s="5">
        <v>4.9791400000000001</v>
      </c>
      <c r="AY43" t="s">
        <v>112</v>
      </c>
      <c r="AZ43" t="s">
        <v>1430</v>
      </c>
      <c r="BA43">
        <v>45.93330265648865</v>
      </c>
    </row>
    <row r="44" spans="1:53" x14ac:dyDescent="0.25">
      <c r="A44" s="5" t="s">
        <v>162</v>
      </c>
      <c r="B44" s="6">
        <v>46139</v>
      </c>
      <c r="C44" s="5" t="s">
        <v>101</v>
      </c>
      <c r="D44" s="5">
        <v>687488.96900000004</v>
      </c>
      <c r="E44" s="5">
        <v>6384209.267</v>
      </c>
      <c r="F44" s="5">
        <v>1</v>
      </c>
      <c r="G44" s="5">
        <v>206.56504821777301</v>
      </c>
      <c r="H44" s="5">
        <v>783</v>
      </c>
      <c r="I44" s="5">
        <v>1</v>
      </c>
      <c r="J44" s="5">
        <v>25</v>
      </c>
      <c r="K44" s="5" t="s">
        <v>115</v>
      </c>
      <c r="L44" s="5">
        <v>5</v>
      </c>
      <c r="M44" s="5">
        <v>4</v>
      </c>
      <c r="N44" s="5">
        <v>1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 t="s">
        <v>103</v>
      </c>
      <c r="V44" s="5" t="s">
        <v>104</v>
      </c>
      <c r="W44" s="5" t="s">
        <v>105</v>
      </c>
      <c r="X44" s="5" t="s">
        <v>111</v>
      </c>
      <c r="Y44" s="5" t="s">
        <v>111</v>
      </c>
      <c r="Z44" s="5" t="str">
        <f>IF(ISNUMBER(MATCH(A44, TABLEAU_Floristique!B$1:DC$1, 0)), "OUI","NON")</f>
        <v>OUI</v>
      </c>
      <c r="AB44">
        <v>0.40725</v>
      </c>
      <c r="AC44">
        <v>0.18662000000000001</v>
      </c>
      <c r="AD44">
        <v>0.58342150227723111</v>
      </c>
      <c r="AE44">
        <v>0.77374971149696081</v>
      </c>
      <c r="AF44" s="5">
        <v>359.38426806362401</v>
      </c>
      <c r="AG44" s="5">
        <v>257.95450337589898</v>
      </c>
      <c r="AH44" s="5">
        <v>1791.74706938536</v>
      </c>
      <c r="AI44" s="5">
        <v>166.08028151473499</v>
      </c>
      <c r="AJ44" s="5">
        <v>2.0000000000000002E-5</v>
      </c>
      <c r="AK44" s="5">
        <v>235.255144151835</v>
      </c>
      <c r="AL44" s="5">
        <v>93.524230000000003</v>
      </c>
      <c r="AM44" s="5">
        <v>292.70199000000002</v>
      </c>
      <c r="AN44" s="5">
        <v>707</v>
      </c>
      <c r="AO44" s="5">
        <v>0</v>
      </c>
      <c r="AP44" s="5">
        <v>243</v>
      </c>
      <c r="AQ44" s="5">
        <v>2867</v>
      </c>
      <c r="AR44" s="5">
        <v>538</v>
      </c>
      <c r="AS44" s="5">
        <v>88</v>
      </c>
      <c r="AT44" s="5">
        <v>10</v>
      </c>
      <c r="AU44" s="5">
        <v>49</v>
      </c>
      <c r="AV44" s="5">
        <v>1.33023</v>
      </c>
      <c r="AW44" s="5">
        <v>0.13302</v>
      </c>
      <c r="AX44" s="5">
        <v>0.69837000000000005</v>
      </c>
      <c r="AY44" t="s">
        <v>112</v>
      </c>
      <c r="AZ44" t="s">
        <v>1430</v>
      </c>
      <c r="BA44">
        <v>76.982872445673351</v>
      </c>
    </row>
    <row r="45" spans="1:53" x14ac:dyDescent="0.25">
      <c r="A45" s="5" t="s">
        <v>163</v>
      </c>
      <c r="B45" s="6">
        <v>46139</v>
      </c>
      <c r="C45" s="5" t="s">
        <v>101</v>
      </c>
      <c r="D45" s="5">
        <v>691788.29200000002</v>
      </c>
      <c r="E45" s="5">
        <v>6386042.3540000003</v>
      </c>
      <c r="F45" s="5">
        <v>4</v>
      </c>
      <c r="G45" s="5">
        <v>249.12098693847699</v>
      </c>
      <c r="H45" s="5">
        <v>805</v>
      </c>
      <c r="I45" s="5">
        <v>5</v>
      </c>
      <c r="J45" s="5">
        <v>23</v>
      </c>
      <c r="K45" s="5" t="s">
        <v>115</v>
      </c>
      <c r="L45" s="5">
        <v>5</v>
      </c>
      <c r="M45" s="5">
        <v>4</v>
      </c>
      <c r="N45" s="5" t="s">
        <v>126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 t="s">
        <v>103</v>
      </c>
      <c r="V45" s="5" t="s">
        <v>104</v>
      </c>
      <c r="W45" s="5" t="s">
        <v>105</v>
      </c>
      <c r="X45" s="5" t="s">
        <v>111</v>
      </c>
      <c r="Y45" s="5" t="s">
        <v>111</v>
      </c>
      <c r="Z45" s="5" t="str">
        <f>IF(ISNUMBER(MATCH(A45, TABLEAU_Floristique!B$1:DC$1, 0)), "OUI","NON")</f>
        <v>OUI</v>
      </c>
      <c r="AB45">
        <v>0.82132000000000005</v>
      </c>
      <c r="AC45">
        <v>0.65446000000000004</v>
      </c>
      <c r="AD45">
        <v>0.1823570368440077</v>
      </c>
      <c r="AE45">
        <v>0.32681226976861238</v>
      </c>
      <c r="AF45" s="5">
        <v>1636.3974358872799</v>
      </c>
      <c r="AG45" s="5">
        <v>442.93186764989099</v>
      </c>
      <c r="AH45" s="5">
        <v>498.61312092726803</v>
      </c>
      <c r="AI45" s="5">
        <v>299.53286994970398</v>
      </c>
      <c r="AJ45" s="5">
        <v>0.20066000000000001</v>
      </c>
      <c r="AK45" s="5">
        <v>450.87866414378601</v>
      </c>
      <c r="AL45" s="5"/>
      <c r="AM45" s="5">
        <v>429.57479000000001</v>
      </c>
      <c r="AN45" s="5">
        <v>711</v>
      </c>
      <c r="AO45" s="5">
        <v>0</v>
      </c>
      <c r="AP45" s="5">
        <v>214</v>
      </c>
      <c r="AQ45" s="5">
        <v>2770</v>
      </c>
      <c r="AR45" s="5">
        <v>508</v>
      </c>
      <c r="AS45" s="5">
        <v>86</v>
      </c>
      <c r="AT45" s="5">
        <v>4</v>
      </c>
      <c r="AU45" s="5">
        <v>45</v>
      </c>
      <c r="AV45" s="5">
        <v>0.12987000000000001</v>
      </c>
      <c r="AW45" s="5">
        <v>1</v>
      </c>
      <c r="AX45" s="5">
        <v>3.3376600000000001</v>
      </c>
      <c r="AY45" t="s">
        <v>112</v>
      </c>
      <c r="AZ45" t="s">
        <v>1430</v>
      </c>
      <c r="BA45">
        <v>86.151820526069784</v>
      </c>
    </row>
    <row r="46" spans="1:53" x14ac:dyDescent="0.25">
      <c r="A46" s="5" t="s">
        <v>164</v>
      </c>
      <c r="B46" s="6">
        <v>46114</v>
      </c>
      <c r="C46" s="9" t="s">
        <v>101</v>
      </c>
      <c r="D46" s="10">
        <v>682991.625</v>
      </c>
      <c r="E46" s="10">
        <v>6410767.3810000001</v>
      </c>
      <c r="F46" s="5">
        <v>2</v>
      </c>
      <c r="G46" s="5">
        <v>295.906494140625</v>
      </c>
      <c r="H46" s="5">
        <v>858</v>
      </c>
      <c r="I46" s="5">
        <v>6</v>
      </c>
      <c r="K46" s="5" t="s">
        <v>118</v>
      </c>
      <c r="L46" s="5">
        <v>4</v>
      </c>
      <c r="M46" s="5">
        <v>4</v>
      </c>
      <c r="N46" s="5">
        <v>5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 t="s">
        <v>103</v>
      </c>
      <c r="V46" s="5" t="s">
        <v>104</v>
      </c>
      <c r="W46" s="11" t="s">
        <v>105</v>
      </c>
      <c r="X46" s="5" t="s">
        <v>111</v>
      </c>
      <c r="Y46" s="5" t="s">
        <v>111</v>
      </c>
      <c r="Z46" s="5" t="str">
        <f>IF(ISNUMBER(MATCH(A46, TABLEAU_Floristique!B$1:DC$1, 0)), "OUI","NON")</f>
        <v>OUI</v>
      </c>
      <c r="AB46">
        <v>0.67610000000000003</v>
      </c>
      <c r="AC46">
        <v>0.44602999999999998</v>
      </c>
      <c r="AD46">
        <v>0.39355766403361958</v>
      </c>
      <c r="AE46">
        <v>0.5870080941960818</v>
      </c>
      <c r="AF46" s="5">
        <v>264.15024506141299</v>
      </c>
      <c r="AG46" s="5">
        <v>487.67259158741598</v>
      </c>
      <c r="AH46" s="5">
        <v>23162.497557169499</v>
      </c>
      <c r="AI46" s="5">
        <v>274.42804796926299</v>
      </c>
      <c r="AJ46" s="5">
        <v>0.10125000000000001</v>
      </c>
      <c r="AK46" s="5">
        <v>495.82452196956098</v>
      </c>
      <c r="AL46" s="5"/>
      <c r="AM46" s="5"/>
      <c r="AN46" s="5">
        <v>821</v>
      </c>
      <c r="AO46" s="5">
        <v>0</v>
      </c>
      <c r="AP46" s="5">
        <v>205</v>
      </c>
      <c r="AQ46" s="5">
        <v>3062</v>
      </c>
      <c r="AR46" s="5">
        <v>636</v>
      </c>
      <c r="AS46" s="5">
        <v>86</v>
      </c>
      <c r="AT46" s="5">
        <v>3</v>
      </c>
      <c r="AU46" s="5">
        <v>44</v>
      </c>
      <c r="AV46" s="5">
        <v>0.72789000000000004</v>
      </c>
      <c r="AW46" s="5">
        <v>6.4999999999999997E-3</v>
      </c>
      <c r="AX46" s="5">
        <v>5.1990000000000001E-2</v>
      </c>
      <c r="AY46" t="s">
        <v>107</v>
      </c>
      <c r="AZ46" t="s">
        <v>1427</v>
      </c>
      <c r="BA46">
        <v>96.344978831121011</v>
      </c>
    </row>
    <row r="47" spans="1:53" x14ac:dyDescent="0.25">
      <c r="A47" s="5" t="s">
        <v>165</v>
      </c>
      <c r="B47" s="6">
        <v>46139</v>
      </c>
      <c r="C47" s="5" t="s">
        <v>101</v>
      </c>
      <c r="D47" s="5">
        <v>692956.929</v>
      </c>
      <c r="E47" s="5">
        <v>6386434.8320000004</v>
      </c>
      <c r="F47" s="5">
        <v>3</v>
      </c>
      <c r="G47" s="5">
        <v>318.17980957031301</v>
      </c>
      <c r="H47" s="5">
        <v>865</v>
      </c>
      <c r="I47" s="5">
        <v>5</v>
      </c>
      <c r="J47" s="5">
        <v>34</v>
      </c>
      <c r="K47" s="5" t="s">
        <v>115</v>
      </c>
      <c r="L47" s="5">
        <v>5</v>
      </c>
      <c r="M47" s="5">
        <v>4</v>
      </c>
      <c r="N47" s="5">
        <v>3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 t="s">
        <v>103</v>
      </c>
      <c r="V47" s="5" t="s">
        <v>104</v>
      </c>
      <c r="W47" s="5" t="s">
        <v>105</v>
      </c>
      <c r="X47" s="5" t="s">
        <v>111</v>
      </c>
      <c r="Y47" s="5" t="s">
        <v>111</v>
      </c>
      <c r="Z47" s="5" t="str">
        <f>IF(ISNUMBER(MATCH(A47, TABLEAU_Floristique!B$1:DC$1, 0)), "OUI","NON")</f>
        <v>OUI</v>
      </c>
      <c r="AB47">
        <v>0.83274000000000004</v>
      </c>
      <c r="AC47">
        <v>0.62631999999999999</v>
      </c>
      <c r="AD47">
        <v>0.18045385347312631</v>
      </c>
      <c r="AE47">
        <v>0.37230017642940449</v>
      </c>
      <c r="AF47" s="5">
        <v>685.73648835748099</v>
      </c>
      <c r="AG47" s="5">
        <v>106.317883091448</v>
      </c>
      <c r="AH47" s="5">
        <v>40.930077873498099</v>
      </c>
      <c r="AI47" s="5">
        <v>316.90535663624797</v>
      </c>
      <c r="AJ47" s="5">
        <v>7.6369999999999993E-2</v>
      </c>
      <c r="AK47" s="5">
        <v>534.92947597357499</v>
      </c>
      <c r="AL47" s="5"/>
      <c r="AM47" s="5"/>
      <c r="AN47" s="5">
        <v>717</v>
      </c>
      <c r="AO47" s="5">
        <v>0</v>
      </c>
      <c r="AP47" s="5">
        <v>201</v>
      </c>
      <c r="AQ47" s="5">
        <v>2750</v>
      </c>
      <c r="AR47" s="5">
        <v>630</v>
      </c>
      <c r="AS47" s="5">
        <v>79</v>
      </c>
      <c r="AT47" s="5">
        <v>8</v>
      </c>
      <c r="AU47" s="5">
        <v>41</v>
      </c>
      <c r="AV47" s="5">
        <v>0.12987000000000001</v>
      </c>
      <c r="AW47" s="5">
        <v>1</v>
      </c>
      <c r="AX47" s="5">
        <v>3.3376600000000001</v>
      </c>
      <c r="AY47" t="s">
        <v>112</v>
      </c>
      <c r="AZ47" t="s">
        <v>1430</v>
      </c>
      <c r="BA47">
        <v>108.82029730258139</v>
      </c>
    </row>
    <row r="48" spans="1:53" x14ac:dyDescent="0.25">
      <c r="A48" s="5" t="s">
        <v>166</v>
      </c>
      <c r="B48" s="6">
        <v>46140</v>
      </c>
      <c r="C48" s="5" t="s">
        <v>101</v>
      </c>
      <c r="D48" s="5">
        <v>713083.85400000005</v>
      </c>
      <c r="E48" s="5">
        <v>6382920.8700000001</v>
      </c>
      <c r="F48" s="5">
        <v>1</v>
      </c>
      <c r="G48" s="5">
        <v>165.25643920898401</v>
      </c>
      <c r="H48" s="5">
        <v>1290</v>
      </c>
      <c r="I48" s="5">
        <v>7</v>
      </c>
      <c r="J48" s="5">
        <v>20</v>
      </c>
      <c r="K48" s="5" t="s">
        <v>102</v>
      </c>
      <c r="L48" s="5">
        <v>5</v>
      </c>
      <c r="M48" s="5">
        <v>3</v>
      </c>
      <c r="N48" s="5">
        <v>5</v>
      </c>
      <c r="O48" s="5">
        <v>1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 t="s">
        <v>103</v>
      </c>
      <c r="V48" s="5" t="s">
        <v>104</v>
      </c>
      <c r="W48" s="5" t="s">
        <v>105</v>
      </c>
      <c r="X48" s="5" t="s">
        <v>139</v>
      </c>
      <c r="Y48" s="5" t="s">
        <v>139</v>
      </c>
      <c r="Z48" s="5" t="str">
        <f>IF(ISNUMBER(MATCH(A48, TABLEAU_Floristique!B$1:DC$1, 0)), "OUI","NON")</f>
        <v>OUI</v>
      </c>
      <c r="AB48">
        <v>1</v>
      </c>
      <c r="AC48">
        <v>1</v>
      </c>
      <c r="AF48" s="5">
        <v>1253.8585584570401</v>
      </c>
      <c r="AG48" s="5">
        <v>135.48056844128601</v>
      </c>
      <c r="AH48" s="5">
        <v>13547.580343797001</v>
      </c>
      <c r="AI48" s="5">
        <v>480.35903802909502</v>
      </c>
      <c r="AJ48" s="5">
        <v>0.23580000000000001</v>
      </c>
      <c r="AK48" s="5">
        <v>807.48835373388499</v>
      </c>
      <c r="AL48" s="5"/>
      <c r="AM48" s="5"/>
      <c r="AN48" s="5">
        <v>658</v>
      </c>
      <c r="AO48" s="5">
        <v>0</v>
      </c>
      <c r="AP48" s="5">
        <v>156</v>
      </c>
      <c r="AQ48" s="5">
        <v>2448</v>
      </c>
      <c r="AR48" s="5">
        <v>405</v>
      </c>
      <c r="AS48" s="5">
        <v>60</v>
      </c>
      <c r="AT48" s="5">
        <v>-4</v>
      </c>
      <c r="AU48" s="5">
        <v>27</v>
      </c>
      <c r="AV48" s="5"/>
      <c r="AW48" s="5"/>
      <c r="AX48" s="5"/>
      <c r="AY48" t="s">
        <v>112</v>
      </c>
      <c r="AZ48" t="s">
        <v>1465</v>
      </c>
      <c r="BA48">
        <v>574.2817857252179</v>
      </c>
    </row>
    <row r="49" spans="1:53" x14ac:dyDescent="0.25">
      <c r="A49" s="5" t="s">
        <v>167</v>
      </c>
      <c r="B49" s="6">
        <v>46140</v>
      </c>
      <c r="C49" s="5" t="s">
        <v>101</v>
      </c>
      <c r="D49" s="5">
        <v>713925.946</v>
      </c>
      <c r="E49" s="5">
        <v>6379809.7189999996</v>
      </c>
      <c r="F49" s="5">
        <v>2</v>
      </c>
      <c r="G49" s="5">
        <v>143.65254211425801</v>
      </c>
      <c r="H49" s="5">
        <v>1074</v>
      </c>
      <c r="I49" s="5">
        <v>6</v>
      </c>
      <c r="J49" s="5">
        <v>27</v>
      </c>
      <c r="K49" s="5" t="s">
        <v>115</v>
      </c>
      <c r="L49" s="5">
        <v>4</v>
      </c>
      <c r="M49" s="5">
        <v>4</v>
      </c>
      <c r="N49" s="5">
        <v>2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 t="s">
        <v>103</v>
      </c>
      <c r="V49" s="5" t="s">
        <v>104</v>
      </c>
      <c r="W49" s="5" t="s">
        <v>105</v>
      </c>
      <c r="X49" s="5" t="s">
        <v>110</v>
      </c>
      <c r="Y49" s="5" t="s">
        <v>111</v>
      </c>
      <c r="Z49" s="5" t="str">
        <f>IF(ISNUMBER(MATCH(A49, TABLEAU_Floristique!B$1:DC$1, 0)), "OUI","NON")</f>
        <v>OUI</v>
      </c>
      <c r="AB49">
        <v>1</v>
      </c>
      <c r="AC49">
        <v>0.94252999999999998</v>
      </c>
      <c r="AE49">
        <v>4.2119834167146167E-2</v>
      </c>
      <c r="AF49" s="5">
        <v>535.38218879348904</v>
      </c>
      <c r="AG49" s="5">
        <v>337.93505393355599</v>
      </c>
      <c r="AH49" s="5">
        <v>16725.4652416186</v>
      </c>
      <c r="AI49" s="5">
        <v>415.225753625952</v>
      </c>
      <c r="AJ49" s="5">
        <v>0.21210000000000001</v>
      </c>
      <c r="AK49" s="5">
        <v>610.04444139512202</v>
      </c>
      <c r="AL49" s="5"/>
      <c r="AM49" s="5"/>
      <c r="AN49" s="5">
        <v>653</v>
      </c>
      <c r="AO49" s="5">
        <v>0</v>
      </c>
      <c r="AP49" s="5">
        <v>192</v>
      </c>
      <c r="AQ49" s="5">
        <v>2544</v>
      </c>
      <c r="AR49" s="5">
        <v>438</v>
      </c>
      <c r="AS49" s="5">
        <v>71</v>
      </c>
      <c r="AT49" s="5">
        <v>3</v>
      </c>
      <c r="AU49" s="5">
        <v>36</v>
      </c>
      <c r="AV49" s="5"/>
      <c r="AW49" s="5"/>
      <c r="AX49" s="5"/>
      <c r="AY49" t="s">
        <v>112</v>
      </c>
      <c r="AZ49" t="s">
        <v>1465</v>
      </c>
      <c r="BA49">
        <v>323.51558706957098</v>
      </c>
    </row>
    <row r="50" spans="1:53" x14ac:dyDescent="0.25">
      <c r="A50" s="5" t="s">
        <v>168</v>
      </c>
      <c r="B50" s="6">
        <v>46140</v>
      </c>
      <c r="C50" s="5" t="s">
        <v>101</v>
      </c>
      <c r="D50" s="5">
        <v>711180.23</v>
      </c>
      <c r="E50" s="5">
        <v>6380834.3399999999</v>
      </c>
      <c r="F50" s="5">
        <v>2</v>
      </c>
      <c r="G50" s="5">
        <v>149.62088012695301</v>
      </c>
      <c r="H50" s="5">
        <v>1170</v>
      </c>
      <c r="I50" s="5">
        <v>6</v>
      </c>
      <c r="J50" s="5">
        <v>27</v>
      </c>
      <c r="K50" s="5" t="s">
        <v>102</v>
      </c>
      <c r="L50" s="5">
        <v>5</v>
      </c>
      <c r="M50" s="5">
        <v>2</v>
      </c>
      <c r="N50" s="5">
        <v>3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 t="s">
        <v>103</v>
      </c>
      <c r="V50" s="5" t="s">
        <v>104</v>
      </c>
      <c r="W50" s="5" t="s">
        <v>105</v>
      </c>
      <c r="X50" s="5" t="s">
        <v>139</v>
      </c>
      <c r="Y50" s="5" t="s">
        <v>139</v>
      </c>
      <c r="Z50" s="5" t="str">
        <f>IF(ISNUMBER(MATCH(A50, TABLEAU_Floristique!B$1:DC$1, 0)), "OUI","NON")</f>
        <v>OUI</v>
      </c>
      <c r="AB50">
        <v>0.93056000000000005</v>
      </c>
      <c r="AC50">
        <v>0.92005999999999999</v>
      </c>
      <c r="AD50">
        <v>6.9826709196944656E-2</v>
      </c>
      <c r="AE50">
        <v>7.1606897493533939E-2</v>
      </c>
      <c r="AF50" s="5">
        <v>320.02971190192198</v>
      </c>
      <c r="AG50" s="5">
        <v>275.362839721255</v>
      </c>
      <c r="AH50" s="5">
        <v>14829.893560779999</v>
      </c>
      <c r="AI50" s="5">
        <v>490.06694287572901</v>
      </c>
      <c r="AJ50" s="5">
        <v>8.7370000000000003E-2</v>
      </c>
      <c r="AK50" s="5">
        <v>366.70230228328103</v>
      </c>
      <c r="AL50" s="5"/>
      <c r="AM50" s="5">
        <v>33.513599999999997</v>
      </c>
      <c r="AN50" s="5">
        <v>669</v>
      </c>
      <c r="AO50" s="5">
        <v>0</v>
      </c>
      <c r="AP50" s="5">
        <v>181</v>
      </c>
      <c r="AQ50" s="5">
        <v>2586</v>
      </c>
      <c r="AR50" s="5">
        <v>512</v>
      </c>
      <c r="AS50" s="5">
        <v>73</v>
      </c>
      <c r="AT50" s="5">
        <v>-5</v>
      </c>
      <c r="AU50" s="5">
        <v>34</v>
      </c>
      <c r="AV50" s="5"/>
      <c r="AW50" s="5"/>
      <c r="AX50" s="5"/>
      <c r="AY50" t="s">
        <v>112</v>
      </c>
      <c r="AZ50" t="s">
        <v>1465</v>
      </c>
      <c r="BA50">
        <v>177.12826567222029</v>
      </c>
    </row>
    <row r="51" spans="1:53" x14ac:dyDescent="0.25">
      <c r="A51" s="5" t="s">
        <v>169</v>
      </c>
      <c r="B51" s="6">
        <v>46133</v>
      </c>
      <c r="C51" s="5" t="s">
        <v>101</v>
      </c>
      <c r="D51" s="5">
        <v>698815.08700000006</v>
      </c>
      <c r="E51" s="5">
        <v>6381928.807</v>
      </c>
      <c r="F51" s="5">
        <v>4</v>
      </c>
      <c r="G51" s="5">
        <v>341.980224609375</v>
      </c>
      <c r="H51" s="5">
        <v>907</v>
      </c>
      <c r="I51" s="5">
        <v>5</v>
      </c>
      <c r="J51" s="5">
        <v>16</v>
      </c>
      <c r="K51" s="5" t="s">
        <v>115</v>
      </c>
      <c r="L51" s="5">
        <v>5</v>
      </c>
      <c r="M51" s="5">
        <v>3</v>
      </c>
      <c r="N51" s="5">
        <v>1</v>
      </c>
      <c r="O51" s="5">
        <v>1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 t="s">
        <v>103</v>
      </c>
      <c r="V51" s="5" t="s">
        <v>104</v>
      </c>
      <c r="W51" s="5" t="s">
        <v>170</v>
      </c>
      <c r="X51" s="5" t="s">
        <v>106</v>
      </c>
      <c r="Y51" s="5" t="s">
        <v>106</v>
      </c>
      <c r="Z51" s="5" t="str">
        <f>IF(ISNUMBER(MATCH(A51, TABLEAU_Floristique!B$1:DC$1, 0)), "OUI","NON")</f>
        <v>OUI</v>
      </c>
      <c r="AB51">
        <v>0.39563999999999999</v>
      </c>
      <c r="AC51">
        <v>0.30963000000000002</v>
      </c>
      <c r="AD51">
        <v>0.36141648259702441</v>
      </c>
      <c r="AE51">
        <v>0.39945902142588902</v>
      </c>
      <c r="AF51" s="5">
        <v>85.553009020533693</v>
      </c>
      <c r="AG51" s="5">
        <v>494.62468237837999</v>
      </c>
      <c r="AH51" s="5">
        <v>7018.2230828500396</v>
      </c>
      <c r="AI51" s="5">
        <v>53.252653613490999</v>
      </c>
      <c r="AJ51" s="5">
        <v>6.0830000000000002E-2</v>
      </c>
      <c r="AK51" s="5">
        <v>405.03161162806299</v>
      </c>
      <c r="AL51" s="5"/>
      <c r="AM51" s="5">
        <v>38.0822</v>
      </c>
      <c r="AN51" s="5">
        <v>672</v>
      </c>
      <c r="AO51" s="5">
        <v>0</v>
      </c>
      <c r="AP51" s="5">
        <v>214</v>
      </c>
      <c r="AQ51" s="5">
        <v>2656</v>
      </c>
      <c r="AR51" s="5">
        <v>477</v>
      </c>
      <c r="AS51" s="5">
        <v>81</v>
      </c>
      <c r="AT51" s="5">
        <v>0</v>
      </c>
      <c r="AU51" s="5">
        <v>42</v>
      </c>
      <c r="AV51" s="5">
        <v>0.64295000000000002</v>
      </c>
      <c r="AW51" s="5">
        <v>0.81440000000000001</v>
      </c>
      <c r="AX51" s="5">
        <v>2.2074600000000002</v>
      </c>
      <c r="AY51" t="s">
        <v>112</v>
      </c>
      <c r="AZ51" t="s">
        <v>1432</v>
      </c>
      <c r="BA51">
        <v>50.070702192376046</v>
      </c>
    </row>
    <row r="52" spans="1:53" x14ac:dyDescent="0.25">
      <c r="A52" s="5" t="s">
        <v>171</v>
      </c>
      <c r="B52" s="6">
        <v>46133</v>
      </c>
      <c r="C52" s="5" t="s">
        <v>101</v>
      </c>
      <c r="D52" s="5">
        <v>698863.54700000002</v>
      </c>
      <c r="E52" s="5">
        <v>6380713.7230000002</v>
      </c>
      <c r="F52" s="5">
        <v>4</v>
      </c>
      <c r="G52" s="5">
        <v>133.49256896972699</v>
      </c>
      <c r="H52" s="5">
        <v>738</v>
      </c>
      <c r="I52" s="5">
        <v>5</v>
      </c>
      <c r="J52" s="5">
        <v>22</v>
      </c>
      <c r="K52" s="5" t="s">
        <v>115</v>
      </c>
      <c r="L52" s="5">
        <v>5</v>
      </c>
      <c r="M52" s="5">
        <v>4</v>
      </c>
      <c r="N52" s="5">
        <v>5</v>
      </c>
      <c r="O52" s="5">
        <v>1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 t="s">
        <v>103</v>
      </c>
      <c r="V52" s="5" t="s">
        <v>104</v>
      </c>
      <c r="W52" s="5" t="s">
        <v>105</v>
      </c>
      <c r="X52" s="5" t="s">
        <v>119</v>
      </c>
      <c r="Y52" s="5" t="s">
        <v>111</v>
      </c>
      <c r="Z52" s="5" t="str">
        <f>IF(ISNUMBER(MATCH(A52, TABLEAU_Floristique!B$1:DC$1, 0)), "OUI","NON")</f>
        <v>OUI</v>
      </c>
      <c r="AB52">
        <v>0.82615000000000005</v>
      </c>
      <c r="AC52">
        <v>0.72462000000000004</v>
      </c>
      <c r="AD52">
        <v>0.14937484812902679</v>
      </c>
      <c r="AE52">
        <v>0.24616304258589919</v>
      </c>
      <c r="AF52" s="5">
        <v>712.48548233501003</v>
      </c>
      <c r="AG52" s="5">
        <v>216.182549105861</v>
      </c>
      <c r="AH52" s="5">
        <v>7907.6261720560997</v>
      </c>
      <c r="AI52" s="5">
        <v>123.467734805061</v>
      </c>
      <c r="AJ52" s="5">
        <v>3.7179999999999998E-2</v>
      </c>
      <c r="AK52" s="5">
        <v>218.244302418139</v>
      </c>
      <c r="AL52" s="5">
        <v>181.10804999999999</v>
      </c>
      <c r="AM52" s="5">
        <v>2012.1289200000001</v>
      </c>
      <c r="AN52" s="5">
        <v>658</v>
      </c>
      <c r="AO52" s="5">
        <v>0</v>
      </c>
      <c r="AP52" s="5">
        <v>228</v>
      </c>
      <c r="AQ52" s="5">
        <v>2659</v>
      </c>
      <c r="AR52" s="5">
        <v>473</v>
      </c>
      <c r="AS52" s="5">
        <v>87</v>
      </c>
      <c r="AT52" s="5">
        <v>2</v>
      </c>
      <c r="AU52" s="5">
        <v>46</v>
      </c>
      <c r="AV52" s="5">
        <v>0.64295000000000002</v>
      </c>
      <c r="AW52" s="5">
        <v>0.81440000000000001</v>
      </c>
      <c r="AX52" s="5">
        <v>2.2074600000000002</v>
      </c>
      <c r="AY52" t="s">
        <v>112</v>
      </c>
      <c r="AZ52" t="s">
        <v>1432</v>
      </c>
      <c r="BA52">
        <v>96.288959792284388</v>
      </c>
    </row>
    <row r="53" spans="1:53" x14ac:dyDescent="0.25">
      <c r="A53" s="5" t="s">
        <v>172</v>
      </c>
      <c r="B53" s="6">
        <v>46135</v>
      </c>
      <c r="C53" s="5" t="s">
        <v>101</v>
      </c>
      <c r="D53" s="5">
        <v>701258.34600000002</v>
      </c>
      <c r="E53" s="5">
        <v>6379029.7139999997</v>
      </c>
      <c r="F53" s="5">
        <v>3</v>
      </c>
      <c r="G53" s="5">
        <v>129.47245788574199</v>
      </c>
      <c r="H53" s="5">
        <v>776</v>
      </c>
      <c r="I53" s="5">
        <v>5</v>
      </c>
      <c r="J53" s="5">
        <v>22</v>
      </c>
      <c r="K53" s="5" t="s">
        <v>118</v>
      </c>
      <c r="L53" s="5">
        <v>5</v>
      </c>
      <c r="M53" s="5">
        <v>3</v>
      </c>
      <c r="N53" s="5">
        <v>5</v>
      </c>
      <c r="O53" s="5">
        <v>0</v>
      </c>
      <c r="P53" s="5">
        <v>0</v>
      </c>
      <c r="Q53" s="5">
        <v>1</v>
      </c>
      <c r="R53" s="5">
        <v>0</v>
      </c>
      <c r="S53" s="5">
        <v>0</v>
      </c>
      <c r="T53" s="5">
        <v>0</v>
      </c>
      <c r="U53" s="5" t="s">
        <v>103</v>
      </c>
      <c r="V53" s="5" t="s">
        <v>104</v>
      </c>
      <c r="W53" s="5" t="s">
        <v>105</v>
      </c>
      <c r="X53" s="5" t="s">
        <v>111</v>
      </c>
      <c r="Y53" s="5" t="s">
        <v>111</v>
      </c>
      <c r="Z53" s="5" t="str">
        <f>IF(ISNUMBER(MATCH(A53, TABLEAU_Floristique!B$1:DC$1, 0)), "OUI","NON")</f>
        <v>OUI</v>
      </c>
      <c r="AB53">
        <v>0.81537000000000004</v>
      </c>
      <c r="AC53">
        <v>0.89715999999999996</v>
      </c>
      <c r="AD53">
        <v>0.21462811833657169</v>
      </c>
      <c r="AE53">
        <v>0.1829946283555717</v>
      </c>
      <c r="AF53" s="5">
        <v>437.198456438557</v>
      </c>
      <c r="AG53" s="5">
        <v>660.90014065042101</v>
      </c>
      <c r="AH53" s="5">
        <v>10782.8463030327</v>
      </c>
      <c r="AI53" s="5">
        <v>159.79631519706399</v>
      </c>
      <c r="AJ53" s="5">
        <v>0.16511000000000001</v>
      </c>
      <c r="AK53" s="5">
        <v>501.15849460223598</v>
      </c>
      <c r="AL53" s="5"/>
      <c r="AM53" s="5"/>
      <c r="AN53" s="5">
        <v>653</v>
      </c>
      <c r="AO53" s="5">
        <v>0</v>
      </c>
      <c r="AP53" s="5">
        <v>229</v>
      </c>
      <c r="AQ53" s="5">
        <v>2651</v>
      </c>
      <c r="AR53" s="5">
        <v>312</v>
      </c>
      <c r="AS53" s="5">
        <v>89</v>
      </c>
      <c r="AT53" s="5">
        <v>1</v>
      </c>
      <c r="AU53" s="5">
        <v>48</v>
      </c>
      <c r="AV53" s="5">
        <v>0.99497000000000002</v>
      </c>
      <c r="AW53" s="5">
        <v>0.21240999999999999</v>
      </c>
      <c r="AX53" s="5">
        <v>0.80491999999999997</v>
      </c>
      <c r="AY53" t="s">
        <v>112</v>
      </c>
      <c r="AZ53" t="s">
        <v>1432</v>
      </c>
      <c r="BA53">
        <v>52.668806252001602</v>
      </c>
    </row>
    <row r="54" spans="1:53" x14ac:dyDescent="0.25">
      <c r="A54" s="5" t="s">
        <v>173</v>
      </c>
      <c r="B54" s="6">
        <v>46135</v>
      </c>
      <c r="C54" s="5" t="s">
        <v>101</v>
      </c>
      <c r="D54" s="5">
        <v>700050.15700000001</v>
      </c>
      <c r="E54" s="5">
        <v>6378344.5990000004</v>
      </c>
      <c r="F54" s="5">
        <v>5</v>
      </c>
      <c r="G54" s="5">
        <v>210.37911987304699</v>
      </c>
      <c r="H54" s="5">
        <v>796</v>
      </c>
      <c r="I54" s="5">
        <v>5</v>
      </c>
      <c r="J54" s="5">
        <v>32</v>
      </c>
      <c r="K54" s="5" t="s">
        <v>118</v>
      </c>
      <c r="L54" s="5">
        <v>5</v>
      </c>
      <c r="M54" s="5">
        <v>3</v>
      </c>
      <c r="N54" s="5">
        <v>5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 t="s">
        <v>103</v>
      </c>
      <c r="V54" s="5" t="s">
        <v>104</v>
      </c>
      <c r="W54" s="5" t="s">
        <v>105</v>
      </c>
      <c r="X54" s="5" t="s">
        <v>111</v>
      </c>
      <c r="Y54" s="5" t="s">
        <v>111</v>
      </c>
      <c r="Z54" s="5" t="str">
        <f>IF(ISNUMBER(MATCH(A54, TABLEAU_Floristique!B$1:DC$1, 0)), "OUI","NON")</f>
        <v>OUI</v>
      </c>
      <c r="AB54">
        <v>0.93432999999999999</v>
      </c>
      <c r="AC54">
        <v>0.60407</v>
      </c>
      <c r="AD54">
        <v>0.1048682839392974</v>
      </c>
      <c r="AE54">
        <v>0.37608928038024197</v>
      </c>
      <c r="AF54" s="5">
        <v>256.19061528502499</v>
      </c>
      <c r="AG54" s="5">
        <v>101.733443125241</v>
      </c>
      <c r="AH54" s="5">
        <v>10484.118852505801</v>
      </c>
      <c r="AI54" s="5">
        <v>162.59822954128799</v>
      </c>
      <c r="AJ54" s="5">
        <v>9.0550000000000005E-2</v>
      </c>
      <c r="AK54" s="5">
        <v>331.746073752006</v>
      </c>
      <c r="AL54" s="5"/>
      <c r="AM54" s="5">
        <v>3996.0259000000001</v>
      </c>
      <c r="AN54" s="5">
        <v>633</v>
      </c>
      <c r="AO54" s="5">
        <v>0</v>
      </c>
      <c r="AP54" s="5">
        <v>250</v>
      </c>
      <c r="AQ54" s="5">
        <v>2652</v>
      </c>
      <c r="AR54" s="5">
        <v>484</v>
      </c>
      <c r="AS54" s="5">
        <v>91</v>
      </c>
      <c r="AT54" s="5">
        <v>3</v>
      </c>
      <c r="AU54" s="5">
        <v>49</v>
      </c>
      <c r="AV54" s="5">
        <v>0.99497000000000002</v>
      </c>
      <c r="AW54" s="5">
        <v>0.21240999999999999</v>
      </c>
      <c r="AX54" s="5">
        <v>0.80491999999999997</v>
      </c>
      <c r="AY54" t="s">
        <v>112</v>
      </c>
      <c r="AZ54" t="s">
        <v>1432</v>
      </c>
      <c r="BA54">
        <v>90.31825158793886</v>
      </c>
    </row>
    <row r="55" spans="1:53" x14ac:dyDescent="0.25">
      <c r="A55" s="5" t="s">
        <v>174</v>
      </c>
      <c r="B55" s="12">
        <v>46057</v>
      </c>
      <c r="C55" s="5" t="s">
        <v>101</v>
      </c>
      <c r="D55" s="5">
        <v>698989.97600000002</v>
      </c>
      <c r="E55" s="5">
        <v>6377045.5499999998</v>
      </c>
      <c r="F55" s="5">
        <v>4</v>
      </c>
      <c r="G55" s="5">
        <v>122.735229492188</v>
      </c>
      <c r="H55" s="5">
        <v>610</v>
      </c>
      <c r="I55" s="5">
        <v>5</v>
      </c>
      <c r="J55" s="5">
        <v>17</v>
      </c>
      <c r="K55" s="5" t="s">
        <v>115</v>
      </c>
      <c r="L55" s="5">
        <v>5</v>
      </c>
      <c r="M55" s="5">
        <v>4</v>
      </c>
      <c r="N55" s="5">
        <v>4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 t="s">
        <v>103</v>
      </c>
      <c r="V55" s="5" t="s">
        <v>104</v>
      </c>
      <c r="W55" s="5" t="s">
        <v>105</v>
      </c>
      <c r="X55" s="5" t="s">
        <v>116</v>
      </c>
      <c r="Y55" s="5" t="s">
        <v>111</v>
      </c>
      <c r="Z55" s="5" t="str">
        <f>IF(ISNUMBER(MATCH(A55, TABLEAU_Floristique!B$1:DC$1, 0)), "OUI","NON")</f>
        <v>OUI</v>
      </c>
      <c r="AB55">
        <v>0.97060999999999997</v>
      </c>
      <c r="AC55">
        <v>0.93611</v>
      </c>
      <c r="AD55">
        <v>1.0514561926408971E-2</v>
      </c>
      <c r="AE55">
        <v>3.9509217626820602E-2</v>
      </c>
      <c r="AF55" s="5">
        <v>113.095013813592</v>
      </c>
      <c r="AG55" s="5">
        <v>257.168559506755</v>
      </c>
      <c r="AH55" s="5">
        <v>10935.5055551734</v>
      </c>
      <c r="AI55" s="5">
        <v>224.51817444063801</v>
      </c>
      <c r="AJ55" s="5">
        <v>4.641E-2</v>
      </c>
      <c r="AK55" s="5">
        <v>351.85852707584701</v>
      </c>
      <c r="AL55" s="5"/>
      <c r="AM55" s="5">
        <v>849.76814999999999</v>
      </c>
      <c r="AN55" s="5">
        <v>630</v>
      </c>
      <c r="AO55" s="5">
        <v>0</v>
      </c>
      <c r="AP55" s="5">
        <v>251</v>
      </c>
      <c r="AQ55" s="5">
        <v>2646</v>
      </c>
      <c r="AR55" s="5">
        <v>583</v>
      </c>
      <c r="AS55" s="5">
        <v>93</v>
      </c>
      <c r="AT55" s="5">
        <v>9</v>
      </c>
      <c r="AU55" s="5">
        <v>53</v>
      </c>
      <c r="AV55" s="5">
        <v>0.99497000000000002</v>
      </c>
      <c r="AW55" s="5">
        <v>0.21240999999999999</v>
      </c>
      <c r="AX55" s="5">
        <v>0.80491999999999997</v>
      </c>
      <c r="AY55" t="s">
        <v>112</v>
      </c>
      <c r="AZ55" t="s">
        <v>1432</v>
      </c>
      <c r="BA55">
        <v>214.68839380832429</v>
      </c>
    </row>
    <row r="56" spans="1:53" x14ac:dyDescent="0.25">
      <c r="A56" s="5" t="s">
        <v>175</v>
      </c>
      <c r="B56" s="6">
        <v>46133</v>
      </c>
      <c r="C56" s="5" t="s">
        <v>101</v>
      </c>
      <c r="D56" s="5">
        <v>697725.08100000001</v>
      </c>
      <c r="E56" s="5">
        <v>6379837.0199999996</v>
      </c>
      <c r="F56" s="5">
        <v>5</v>
      </c>
      <c r="G56" s="5">
        <v>149.48976135253901</v>
      </c>
      <c r="H56" s="5">
        <v>698</v>
      </c>
      <c r="I56" s="5">
        <v>5</v>
      </c>
      <c r="J56" s="5">
        <v>22</v>
      </c>
      <c r="K56" s="5" t="s">
        <v>115</v>
      </c>
      <c r="L56" s="5">
        <v>5</v>
      </c>
      <c r="M56" s="5">
        <v>4</v>
      </c>
      <c r="N56" s="5">
        <v>2</v>
      </c>
      <c r="O56" s="5">
        <v>0</v>
      </c>
      <c r="P56" s="5">
        <v>0</v>
      </c>
      <c r="Q56" s="5">
        <v>0</v>
      </c>
      <c r="R56" s="5">
        <v>1</v>
      </c>
      <c r="S56" s="5">
        <v>0</v>
      </c>
      <c r="T56" s="5">
        <v>0</v>
      </c>
      <c r="U56" s="5" t="s">
        <v>103</v>
      </c>
      <c r="V56" s="5" t="s">
        <v>104</v>
      </c>
      <c r="W56" s="5" t="s">
        <v>105</v>
      </c>
      <c r="X56" s="5" t="s">
        <v>116</v>
      </c>
      <c r="Y56" s="5" t="s">
        <v>111</v>
      </c>
      <c r="Z56" s="5" t="str">
        <f>IF(ISNUMBER(MATCH(A56, TABLEAU_Floristique!B$1:DC$1, 0)), "OUI","NON")</f>
        <v>OUI</v>
      </c>
      <c r="AB56">
        <v>0.83409999999999995</v>
      </c>
      <c r="AC56">
        <v>0.72887000000000002</v>
      </c>
      <c r="AD56">
        <v>0.1772591552166492</v>
      </c>
      <c r="AE56">
        <v>0.25759213330167419</v>
      </c>
      <c r="AF56" s="5">
        <v>714.18224240150198</v>
      </c>
      <c r="AG56" s="5">
        <v>270.44168047737003</v>
      </c>
      <c r="AH56" s="5">
        <v>7923.2599497136198</v>
      </c>
      <c r="AI56" s="5">
        <v>192.68893211799099</v>
      </c>
      <c r="AJ56" s="5">
        <v>0.18493000000000001</v>
      </c>
      <c r="AK56" s="5">
        <v>329.178553312666</v>
      </c>
      <c r="AL56" s="5"/>
      <c r="AM56" s="5">
        <v>26.248329999999999</v>
      </c>
      <c r="AN56" s="5">
        <v>650</v>
      </c>
      <c r="AO56" s="5">
        <v>0</v>
      </c>
      <c r="AP56" s="5">
        <v>239</v>
      </c>
      <c r="AQ56" s="5">
        <v>2666</v>
      </c>
      <c r="AR56" s="5">
        <v>472</v>
      </c>
      <c r="AS56" s="5">
        <v>91</v>
      </c>
      <c r="AT56" s="5">
        <v>4</v>
      </c>
      <c r="AU56" s="5">
        <v>50</v>
      </c>
      <c r="AV56" s="5">
        <v>0.64295000000000002</v>
      </c>
      <c r="AW56" s="5">
        <v>0.81440000000000001</v>
      </c>
      <c r="AX56" s="5">
        <v>2.2074600000000002</v>
      </c>
      <c r="AY56" t="s">
        <v>112</v>
      </c>
      <c r="AZ56" t="s">
        <v>1432</v>
      </c>
      <c r="BA56">
        <v>104.1378017869344</v>
      </c>
    </row>
    <row r="57" spans="1:53" x14ac:dyDescent="0.25">
      <c r="A57" s="5" t="s">
        <v>176</v>
      </c>
      <c r="B57" s="6">
        <v>46119</v>
      </c>
      <c r="C57" s="5" t="s">
        <v>101</v>
      </c>
      <c r="D57" s="5">
        <v>691792.93799999997</v>
      </c>
      <c r="E57" s="5">
        <v>6408682.642</v>
      </c>
      <c r="F57" s="5">
        <v>2</v>
      </c>
      <c r="G57" s="5">
        <v>5.7105941772460902</v>
      </c>
      <c r="H57" s="5">
        <v>1075</v>
      </c>
      <c r="I57" s="5">
        <v>1</v>
      </c>
      <c r="K57" s="5" t="s">
        <v>177</v>
      </c>
      <c r="L57" s="5">
        <v>4</v>
      </c>
      <c r="M57" s="5">
        <v>3</v>
      </c>
      <c r="N57" s="5">
        <v>1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 t="s">
        <v>104</v>
      </c>
      <c r="V57" s="5" t="s">
        <v>103</v>
      </c>
      <c r="W57" s="5" t="s">
        <v>105</v>
      </c>
      <c r="X57" s="5" t="s">
        <v>110</v>
      </c>
      <c r="Y57" s="5" t="s">
        <v>106</v>
      </c>
      <c r="Z57" s="5" t="str">
        <f>IF(ISNUMBER(MATCH(A57, TABLEAU_Floristique!B$1:DC$1, 0)), "OUI","NON")</f>
        <v>OUI</v>
      </c>
      <c r="AA57" s="7" t="s">
        <v>178</v>
      </c>
      <c r="AB57">
        <v>0.32835999999999999</v>
      </c>
      <c r="AC57">
        <v>0.24490999999999999</v>
      </c>
      <c r="AD57">
        <v>0.60088285573930456</v>
      </c>
      <c r="AE57">
        <v>0.72026845845038889</v>
      </c>
      <c r="AF57" s="5">
        <v>89.229571298475804</v>
      </c>
      <c r="AG57" s="5">
        <v>178.70842847460699</v>
      </c>
      <c r="AH57" s="5">
        <v>16224.3457693277</v>
      </c>
      <c r="AI57" s="5">
        <v>459.25537820185502</v>
      </c>
      <c r="AJ57" s="5">
        <v>0.15235000000000001</v>
      </c>
      <c r="AK57" s="5">
        <v>76.914549922309504</v>
      </c>
      <c r="AL57" s="5">
        <v>2027.1975199999999</v>
      </c>
      <c r="AM57" s="5">
        <v>3071.79844</v>
      </c>
      <c r="AN57" s="5">
        <v>757</v>
      </c>
      <c r="AO57" s="5">
        <v>0</v>
      </c>
      <c r="AP57" s="5">
        <v>168</v>
      </c>
      <c r="AQ57" s="5">
        <v>2766</v>
      </c>
      <c r="AR57" s="5">
        <v>776</v>
      </c>
      <c r="AS57" s="5">
        <v>74</v>
      </c>
      <c r="AT57" s="5">
        <v>-1</v>
      </c>
      <c r="AU57" s="5">
        <v>34</v>
      </c>
      <c r="AV57" s="5">
        <v>0.72789000000000004</v>
      </c>
      <c r="AW57" s="5">
        <v>6.4999999999999997E-3</v>
      </c>
      <c r="AX57" s="5">
        <v>5.1990000000000001E-2</v>
      </c>
      <c r="AY57" t="s">
        <v>107</v>
      </c>
      <c r="AZ57" t="s">
        <v>1431</v>
      </c>
      <c r="BA57">
        <v>38.38175608307251</v>
      </c>
    </row>
    <row r="58" spans="1:53" x14ac:dyDescent="0.25">
      <c r="A58" s="5" t="s">
        <v>179</v>
      </c>
      <c r="C58" s="5" t="s">
        <v>180</v>
      </c>
      <c r="D58" s="5">
        <v>703902.19</v>
      </c>
      <c r="E58" s="5">
        <v>6382811.6399999997</v>
      </c>
      <c r="F58" s="5">
        <v>2</v>
      </c>
      <c r="G58" s="5">
        <v>251.56504821777301</v>
      </c>
      <c r="H58" s="5">
        <v>1044</v>
      </c>
      <c r="I58" s="5">
        <v>6</v>
      </c>
      <c r="K58" s="5" t="s">
        <v>115</v>
      </c>
      <c r="L58" s="5">
        <v>5</v>
      </c>
      <c r="M58" s="5">
        <v>3</v>
      </c>
      <c r="N58" s="5">
        <v>3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 t="s">
        <v>103</v>
      </c>
      <c r="V58" s="5" t="s">
        <v>104</v>
      </c>
      <c r="W58" s="5" t="s">
        <v>105</v>
      </c>
      <c r="X58" s="5" t="s">
        <v>106</v>
      </c>
      <c r="Y58" s="5" t="s">
        <v>106</v>
      </c>
      <c r="Z58" s="5" t="str">
        <f>IF(ISNUMBER(MATCH(A58, TABLEAU_Floristique!B$1:DC$1, 0)), "OUI","NON")</f>
        <v>OUI</v>
      </c>
      <c r="AB58">
        <v>0.93996999999999997</v>
      </c>
      <c r="AC58">
        <v>0.80523999999999996</v>
      </c>
      <c r="AD58">
        <v>6.4167731622618837E-2</v>
      </c>
      <c r="AE58">
        <v>0.19016611603882011</v>
      </c>
      <c r="AF58" s="5">
        <v>2129.6883837076898</v>
      </c>
      <c r="AG58" s="5">
        <v>56.731433607200699</v>
      </c>
      <c r="AH58" s="5">
        <v>9918.8971806057907</v>
      </c>
      <c r="AI58" s="5">
        <v>73.334175914714805</v>
      </c>
      <c r="AJ58" s="5">
        <v>6.2179999999999999E-2</v>
      </c>
      <c r="AK58" s="5">
        <v>338.52015848373298</v>
      </c>
      <c r="AL58" s="5">
        <v>24.802060000000001</v>
      </c>
      <c r="AM58" s="5">
        <v>198.02874</v>
      </c>
      <c r="AN58" s="5">
        <v>685</v>
      </c>
      <c r="AO58" s="5">
        <v>0</v>
      </c>
      <c r="AP58" s="5">
        <v>181</v>
      </c>
      <c r="AQ58" s="5">
        <v>2605</v>
      </c>
      <c r="AR58" s="5">
        <v>472</v>
      </c>
      <c r="AS58" s="5">
        <v>73</v>
      </c>
      <c r="AT58" s="5">
        <v>-9</v>
      </c>
      <c r="AU58" s="5">
        <v>34</v>
      </c>
      <c r="AV58" s="5">
        <v>0.99497000000000002</v>
      </c>
      <c r="AW58" s="5">
        <v>0.21240999999999999</v>
      </c>
      <c r="AX58" s="5">
        <v>0.80491999999999997</v>
      </c>
      <c r="AY58" t="s">
        <v>112</v>
      </c>
      <c r="AZ58" t="s">
        <v>1432</v>
      </c>
      <c r="BA58">
        <v>137.73457699533191</v>
      </c>
    </row>
    <row r="59" spans="1:53" x14ac:dyDescent="0.25">
      <c r="A59" s="5" t="s">
        <v>181</v>
      </c>
      <c r="B59" s="6">
        <v>46134</v>
      </c>
      <c r="C59" s="5" t="s">
        <v>101</v>
      </c>
      <c r="D59" s="5">
        <v>693514.6</v>
      </c>
      <c r="E59" s="5">
        <v>6413551.1950000003</v>
      </c>
      <c r="F59" s="5">
        <v>1</v>
      </c>
      <c r="G59" s="5">
        <v>26.5650520324707</v>
      </c>
      <c r="H59" s="5">
        <v>1013</v>
      </c>
      <c r="I59" s="5">
        <v>1</v>
      </c>
      <c r="J59" s="5">
        <v>28</v>
      </c>
      <c r="K59" s="5" t="s">
        <v>115</v>
      </c>
      <c r="L59" s="5">
        <v>5</v>
      </c>
      <c r="M59" s="5">
        <v>5</v>
      </c>
      <c r="N59" s="5">
        <v>2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 t="s">
        <v>103</v>
      </c>
      <c r="V59" s="5" t="s">
        <v>104</v>
      </c>
      <c r="W59" s="5" t="s">
        <v>105</v>
      </c>
      <c r="X59" s="5" t="s">
        <v>110</v>
      </c>
      <c r="Y59" s="5" t="s">
        <v>139</v>
      </c>
      <c r="Z59" s="5" t="str">
        <f>IF(ISNUMBER(MATCH(A59, TABLEAU_Floristique!B$1:DC$1, 0)), "OUI","NON")</f>
        <v>OUI</v>
      </c>
      <c r="AB59">
        <v>0.92820000000000003</v>
      </c>
      <c r="AC59">
        <v>0.79630999999999996</v>
      </c>
      <c r="AD59">
        <v>7.4706336765446052E-2</v>
      </c>
      <c r="AE59">
        <v>0.19822549881877441</v>
      </c>
      <c r="AF59" s="5">
        <v>466.79579370944901</v>
      </c>
      <c r="AG59" s="5">
        <v>176.93677691455699</v>
      </c>
      <c r="AH59" s="5">
        <v>19866.115260697599</v>
      </c>
      <c r="AI59" s="5">
        <v>879.625914123332</v>
      </c>
      <c r="AJ59" s="5"/>
      <c r="AK59" s="5">
        <v>574.21797257216497</v>
      </c>
      <c r="AL59" s="5"/>
      <c r="AM59" s="5"/>
      <c r="AN59" s="5">
        <v>725</v>
      </c>
      <c r="AO59" s="5">
        <v>0</v>
      </c>
      <c r="AP59" s="5">
        <v>182</v>
      </c>
      <c r="AQ59" s="5">
        <v>2742</v>
      </c>
      <c r="AR59" s="5">
        <v>680</v>
      </c>
      <c r="AS59" s="5">
        <v>73</v>
      </c>
      <c r="AT59" s="5">
        <v>7</v>
      </c>
      <c r="AU59" s="5">
        <v>37</v>
      </c>
      <c r="AV59" s="5"/>
      <c r="AW59" s="5"/>
      <c r="AX59" s="5"/>
      <c r="AY59" t="s">
        <v>107</v>
      </c>
      <c r="AZ59" t="s">
        <v>1431</v>
      </c>
      <c r="BA59">
        <v>177.1904986731779</v>
      </c>
    </row>
    <row r="60" spans="1:53" x14ac:dyDescent="0.25">
      <c r="A60" s="5" t="s">
        <v>182</v>
      </c>
      <c r="B60" s="6">
        <v>46132</v>
      </c>
      <c r="C60" s="5" t="s">
        <v>101</v>
      </c>
      <c r="D60" s="5">
        <v>694815.63399999996</v>
      </c>
      <c r="E60" s="5">
        <v>6411892.6739999996</v>
      </c>
      <c r="F60" s="5">
        <v>2</v>
      </c>
      <c r="G60" s="5">
        <v>90</v>
      </c>
      <c r="H60" s="5">
        <v>1052</v>
      </c>
      <c r="I60" s="5">
        <v>1</v>
      </c>
      <c r="J60" s="5">
        <v>24</v>
      </c>
      <c r="K60" s="5" t="s">
        <v>115</v>
      </c>
      <c r="L60" s="5">
        <v>5</v>
      </c>
      <c r="M60" s="5">
        <v>5</v>
      </c>
      <c r="N60" s="5" t="s">
        <v>126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 t="s">
        <v>103</v>
      </c>
      <c r="V60" s="5" t="s">
        <v>104</v>
      </c>
      <c r="W60" s="5" t="s">
        <v>105</v>
      </c>
      <c r="X60" s="5" t="s">
        <v>139</v>
      </c>
      <c r="Y60" s="5" t="s">
        <v>139</v>
      </c>
      <c r="Z60" s="5" t="str">
        <f>IF(ISNUMBER(MATCH(A60, TABLEAU_Floristique!B$1:DC$1, 0)), "OUI","NON")</f>
        <v>OUI</v>
      </c>
      <c r="AB60">
        <v>0.89661000000000002</v>
      </c>
      <c r="AC60">
        <v>0.59463999999999995</v>
      </c>
      <c r="AD60">
        <v>0.113271058104399</v>
      </c>
      <c r="AE60">
        <v>0.38448589309723458</v>
      </c>
      <c r="AF60" s="5">
        <v>405.316206607374</v>
      </c>
      <c r="AG60" s="5">
        <v>431.30333297068802</v>
      </c>
      <c r="AH60" s="5">
        <v>17865.052110509201</v>
      </c>
      <c r="AI60" s="5">
        <v>894.16086887727704</v>
      </c>
      <c r="AJ60" s="5">
        <v>0.10854</v>
      </c>
      <c r="AK60" s="5">
        <v>625.67767950602399</v>
      </c>
      <c r="AL60" s="5"/>
      <c r="AM60" s="5"/>
      <c r="AN60" s="5">
        <v>724</v>
      </c>
      <c r="AO60" s="5">
        <v>0</v>
      </c>
      <c r="AP60" s="5">
        <v>170</v>
      </c>
      <c r="AQ60" s="5">
        <v>2669</v>
      </c>
      <c r="AR60" s="5">
        <v>676</v>
      </c>
      <c r="AS60" s="5">
        <v>72</v>
      </c>
      <c r="AT60" s="5">
        <v>1</v>
      </c>
      <c r="AU60" s="5">
        <v>34</v>
      </c>
      <c r="AV60" s="5"/>
      <c r="AW60" s="5"/>
      <c r="AX60" s="5"/>
      <c r="AY60" t="s">
        <v>107</v>
      </c>
      <c r="AZ60" t="s">
        <v>1431</v>
      </c>
      <c r="BA60">
        <v>139.03519854377171</v>
      </c>
    </row>
    <row r="61" spans="1:53" x14ac:dyDescent="0.25">
      <c r="A61" s="5" t="s">
        <v>183</v>
      </c>
      <c r="B61" s="6">
        <v>46134</v>
      </c>
      <c r="C61" s="5" t="s">
        <v>101</v>
      </c>
      <c r="D61" s="5">
        <v>700413.77399999998</v>
      </c>
      <c r="E61" s="5">
        <v>6409677.9170000004</v>
      </c>
      <c r="F61" s="5">
        <v>2</v>
      </c>
      <c r="G61" s="5">
        <v>47.202598571777301</v>
      </c>
      <c r="H61" s="5">
        <v>1272</v>
      </c>
      <c r="I61" s="5">
        <v>6</v>
      </c>
      <c r="K61" s="5" t="s">
        <v>102</v>
      </c>
      <c r="L61" s="5">
        <v>5</v>
      </c>
      <c r="M61" s="5">
        <v>2</v>
      </c>
      <c r="N61" s="5" t="s">
        <v>126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 t="s">
        <v>103</v>
      </c>
      <c r="V61" s="5" t="s">
        <v>104</v>
      </c>
      <c r="W61" s="5" t="s">
        <v>105</v>
      </c>
      <c r="X61" s="5" t="s">
        <v>139</v>
      </c>
      <c r="Y61" s="5" t="s">
        <v>139</v>
      </c>
      <c r="Z61" s="5" t="str">
        <f>IF(ISNUMBER(MATCH(A61, TABLEAU_Floristique!B$1:DC$1, 0)), "OUI","NON")</f>
        <v>OUI</v>
      </c>
      <c r="AB61">
        <v>0.98112999999999995</v>
      </c>
      <c r="AC61">
        <v>0.91222999999999999</v>
      </c>
      <c r="AE61">
        <v>6.3409240679200507E-2</v>
      </c>
      <c r="AF61" s="5">
        <v>1544.2862434681399</v>
      </c>
      <c r="AG61" s="5">
        <v>107.19592794055301</v>
      </c>
      <c r="AH61" s="5">
        <v>14067.371740066301</v>
      </c>
      <c r="AI61" s="5">
        <v>297.99684354859698</v>
      </c>
      <c r="AJ61" s="5">
        <v>2.4499999999999999E-3</v>
      </c>
      <c r="AK61" s="5">
        <v>429.15050223125201</v>
      </c>
      <c r="AL61" s="5"/>
      <c r="AM61" s="5">
        <v>10.720660000000001</v>
      </c>
      <c r="AN61" s="5">
        <v>686</v>
      </c>
      <c r="AO61" s="5">
        <v>0</v>
      </c>
      <c r="AP61" s="5">
        <v>138</v>
      </c>
      <c r="AQ61" s="5">
        <v>2496</v>
      </c>
      <c r="AR61" s="5">
        <v>661</v>
      </c>
      <c r="AS61" s="5">
        <v>61</v>
      </c>
      <c r="AT61" s="5">
        <v>3</v>
      </c>
      <c r="AU61" s="5">
        <v>27</v>
      </c>
      <c r="AV61" s="5"/>
      <c r="AW61" s="5"/>
      <c r="AX61" s="5"/>
      <c r="AY61" t="s">
        <v>107</v>
      </c>
      <c r="AZ61" t="s">
        <v>1431</v>
      </c>
      <c r="BA61">
        <v>280.6302263921354</v>
      </c>
    </row>
    <row r="62" spans="1:53" x14ac:dyDescent="0.25">
      <c r="A62" s="5" t="s">
        <v>184</v>
      </c>
      <c r="B62" s="6">
        <v>46134</v>
      </c>
      <c r="C62" s="5" t="s">
        <v>101</v>
      </c>
      <c r="D62" s="5">
        <v>699990.80900000001</v>
      </c>
      <c r="E62" s="5">
        <v>6411038.1509999996</v>
      </c>
      <c r="F62" s="5">
        <v>1</v>
      </c>
      <c r="G62" s="5">
        <v>34.380344390869098</v>
      </c>
      <c r="H62" s="5">
        <v>1169</v>
      </c>
      <c r="I62" s="5">
        <v>1</v>
      </c>
      <c r="J62" s="5">
        <v>30</v>
      </c>
      <c r="K62" s="5" t="s">
        <v>115</v>
      </c>
      <c r="L62" s="5">
        <v>5</v>
      </c>
      <c r="M62" s="5">
        <v>4</v>
      </c>
      <c r="N62" s="5" t="s">
        <v>126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 t="s">
        <v>103</v>
      </c>
      <c r="V62" s="5" t="s">
        <v>104</v>
      </c>
      <c r="W62" s="5" t="s">
        <v>105</v>
      </c>
      <c r="X62" s="5" t="s">
        <v>110</v>
      </c>
      <c r="Y62" s="5" t="s">
        <v>139</v>
      </c>
      <c r="Z62" s="5" t="str">
        <f>IF(ISNUMBER(MATCH(A62, TABLEAU_Floristique!B$1:DC$1, 0)), "OUI","NON")</f>
        <v>OUI</v>
      </c>
      <c r="AB62">
        <v>0.94496999999999998</v>
      </c>
      <c r="AC62">
        <v>0.79593999999999998</v>
      </c>
      <c r="AD62">
        <v>5.6180130055053012E-2</v>
      </c>
      <c r="AE62">
        <v>0.26943727911439652</v>
      </c>
      <c r="AF62" s="5">
        <v>1682.72288255737</v>
      </c>
      <c r="AG62" s="5">
        <v>137.97961826085299</v>
      </c>
      <c r="AH62" s="5">
        <v>15487.1061414378</v>
      </c>
      <c r="AI62" s="5">
        <v>773.97155406954596</v>
      </c>
      <c r="AJ62" s="5">
        <v>0.22681000000000001</v>
      </c>
      <c r="AK62" s="5">
        <v>605.62208932783994</v>
      </c>
      <c r="AL62" s="5"/>
      <c r="AM62" s="5"/>
      <c r="AN62" s="5">
        <v>682</v>
      </c>
      <c r="AO62" s="5">
        <v>0</v>
      </c>
      <c r="AP62" s="5">
        <v>153</v>
      </c>
      <c r="AQ62" s="5">
        <v>2495</v>
      </c>
      <c r="AR62" s="5">
        <v>527</v>
      </c>
      <c r="AS62" s="5">
        <v>61</v>
      </c>
      <c r="AT62" s="5">
        <v>3</v>
      </c>
      <c r="AU62" s="5">
        <v>30</v>
      </c>
      <c r="AV62" s="5"/>
      <c r="AW62" s="5"/>
      <c r="AX62" s="5"/>
      <c r="AY62" t="s">
        <v>107</v>
      </c>
      <c r="AZ62" t="s">
        <v>1431</v>
      </c>
      <c r="BA62">
        <v>194.21922284360281</v>
      </c>
    </row>
    <row r="63" spans="1:53" x14ac:dyDescent="0.25">
      <c r="A63" s="5" t="s">
        <v>185</v>
      </c>
      <c r="B63" s="6">
        <v>46132</v>
      </c>
      <c r="C63" s="5" t="s">
        <v>101</v>
      </c>
      <c r="D63" s="5">
        <v>693855.29799999995</v>
      </c>
      <c r="E63" s="5">
        <v>6410616.2460000003</v>
      </c>
      <c r="F63" s="5">
        <v>1</v>
      </c>
      <c r="G63" s="5">
        <v>50.194427490234403</v>
      </c>
      <c r="H63" s="5">
        <v>1092</v>
      </c>
      <c r="I63" s="5">
        <v>1</v>
      </c>
      <c r="J63" s="5">
        <v>26</v>
      </c>
      <c r="K63" s="5" t="s">
        <v>115</v>
      </c>
      <c r="L63" s="5">
        <v>5</v>
      </c>
      <c r="M63" s="5">
        <v>5</v>
      </c>
      <c r="N63" s="5">
        <v>2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 t="s">
        <v>103</v>
      </c>
      <c r="V63" s="5" t="s">
        <v>104</v>
      </c>
      <c r="W63" s="5" t="s">
        <v>105</v>
      </c>
      <c r="X63" s="5" t="s">
        <v>139</v>
      </c>
      <c r="Y63" s="5" t="s">
        <v>139</v>
      </c>
      <c r="Z63" s="5" t="str">
        <f>IF(ISNUMBER(MATCH(A63, TABLEAU_Floristique!B$1:DC$1, 0)), "OUI","NON")</f>
        <v>OUI</v>
      </c>
      <c r="AB63">
        <v>0.92813000000000001</v>
      </c>
      <c r="AC63">
        <v>0.87172000000000005</v>
      </c>
      <c r="AD63">
        <v>6.8127090917041028E-2</v>
      </c>
      <c r="AE63">
        <v>0.1173165431843257</v>
      </c>
      <c r="AF63" s="5">
        <v>226.20773874768199</v>
      </c>
      <c r="AG63" s="5">
        <v>502.54338769891399</v>
      </c>
      <c r="AH63" s="5">
        <v>17016.433602510398</v>
      </c>
      <c r="AI63" s="5">
        <v>670.02266448298894</v>
      </c>
      <c r="AJ63" s="5">
        <v>0.11867</v>
      </c>
      <c r="AK63" s="5">
        <v>794.34667628166801</v>
      </c>
      <c r="AL63" s="5"/>
      <c r="AM63" s="5"/>
      <c r="AN63" s="5">
        <v>739</v>
      </c>
      <c r="AO63" s="5">
        <v>0</v>
      </c>
      <c r="AP63" s="5">
        <v>166</v>
      </c>
      <c r="AQ63" s="5">
        <v>2702</v>
      </c>
      <c r="AR63" s="5">
        <v>781</v>
      </c>
      <c r="AS63" s="5">
        <v>66</v>
      </c>
      <c r="AT63" s="5">
        <v>5</v>
      </c>
      <c r="AU63" s="5">
        <v>33</v>
      </c>
      <c r="AV63" s="5"/>
      <c r="AW63" s="5"/>
      <c r="AX63" s="5"/>
      <c r="AY63" t="s">
        <v>107</v>
      </c>
      <c r="AZ63" t="s">
        <v>1431</v>
      </c>
      <c r="BA63">
        <v>141.1194007974369</v>
      </c>
    </row>
    <row r="64" spans="1:53" x14ac:dyDescent="0.25">
      <c r="A64" s="5" t="s">
        <v>186</v>
      </c>
      <c r="B64" s="6">
        <v>46139</v>
      </c>
      <c r="C64" s="5" t="s">
        <v>101</v>
      </c>
      <c r="D64" s="5">
        <v>690941.59600000002</v>
      </c>
      <c r="E64" s="5">
        <v>6389047.5369999995</v>
      </c>
      <c r="F64" s="5">
        <v>2</v>
      </c>
      <c r="G64" s="5">
        <v>327.26477050781301</v>
      </c>
      <c r="H64" s="5">
        <v>945</v>
      </c>
      <c r="I64" s="5">
        <v>6</v>
      </c>
      <c r="J64" s="5">
        <v>17</v>
      </c>
      <c r="K64" s="5" t="s">
        <v>115</v>
      </c>
      <c r="L64" s="5">
        <v>5</v>
      </c>
      <c r="M64" s="5">
        <v>4</v>
      </c>
      <c r="N64" s="5">
        <v>2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 t="s">
        <v>103</v>
      </c>
      <c r="V64" s="5" t="s">
        <v>104</v>
      </c>
      <c r="W64" s="5" t="s">
        <v>170</v>
      </c>
      <c r="X64" s="5" t="s">
        <v>110</v>
      </c>
      <c r="Y64" s="5" t="s">
        <v>106</v>
      </c>
      <c r="Z64" s="5" t="str">
        <f>IF(ISNUMBER(MATCH(A64, TABLEAU_Floristique!B$1:DC$1, 0)), "OUI","NON")</f>
        <v>OUI</v>
      </c>
      <c r="AB64">
        <v>0.78752</v>
      </c>
      <c r="AC64">
        <v>0.58592</v>
      </c>
      <c r="AD64">
        <v>0.28599293887638921</v>
      </c>
      <c r="AE64">
        <v>0.45390169673804182</v>
      </c>
      <c r="AF64" s="5">
        <v>35.269032995381401</v>
      </c>
      <c r="AG64" s="5">
        <v>105.556350757</v>
      </c>
      <c r="AH64" s="5">
        <v>3027.57236517109</v>
      </c>
      <c r="AI64" s="5">
        <v>286.76540514021201</v>
      </c>
      <c r="AJ64" s="5">
        <v>0.13500999999999999</v>
      </c>
      <c r="AK64" s="5">
        <v>184.39790504519499</v>
      </c>
      <c r="AL64" s="5">
        <v>559.42407000000003</v>
      </c>
      <c r="AM64" s="5">
        <v>559.42407000000003</v>
      </c>
      <c r="AN64" s="5">
        <v>727</v>
      </c>
      <c r="AO64" s="5">
        <v>0</v>
      </c>
      <c r="AP64" s="5">
        <v>204</v>
      </c>
      <c r="AQ64" s="5">
        <v>2788</v>
      </c>
      <c r="AR64" s="5">
        <v>784</v>
      </c>
      <c r="AS64" s="5">
        <v>82</v>
      </c>
      <c r="AT64" s="5">
        <v>3</v>
      </c>
      <c r="AU64" s="5">
        <v>41</v>
      </c>
      <c r="AV64" s="5">
        <v>0.12987000000000001</v>
      </c>
      <c r="AW64" s="5">
        <v>1</v>
      </c>
      <c r="AX64" s="5">
        <v>3.3376600000000001</v>
      </c>
      <c r="AY64" t="s">
        <v>112</v>
      </c>
      <c r="AZ64" t="s">
        <v>1428</v>
      </c>
      <c r="BA64">
        <v>65.769786262612456</v>
      </c>
    </row>
    <row r="65" spans="1:53" x14ac:dyDescent="0.25">
      <c r="A65" s="5" t="s">
        <v>187</v>
      </c>
      <c r="B65" s="6">
        <v>46147</v>
      </c>
      <c r="C65" s="5" t="s">
        <v>101</v>
      </c>
      <c r="D65" s="5">
        <v>706382.93500000006</v>
      </c>
      <c r="E65" s="5">
        <v>6377406.7570000002</v>
      </c>
      <c r="F65" s="5">
        <v>2</v>
      </c>
      <c r="G65" s="5">
        <v>65.282562255859403</v>
      </c>
      <c r="H65" s="5">
        <v>1044</v>
      </c>
      <c r="I65" s="5">
        <v>6</v>
      </c>
      <c r="J65" s="5">
        <v>22</v>
      </c>
      <c r="K65" s="5" t="s">
        <v>115</v>
      </c>
      <c r="L65" s="5">
        <v>5</v>
      </c>
      <c r="M65" s="5">
        <v>5</v>
      </c>
      <c r="N65" s="5">
        <v>4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 t="s">
        <v>103</v>
      </c>
      <c r="V65" s="5" t="s">
        <v>104</v>
      </c>
      <c r="W65" s="5" t="s">
        <v>105</v>
      </c>
      <c r="X65" s="5" t="s">
        <v>111</v>
      </c>
      <c r="Y65" s="5" t="s">
        <v>111</v>
      </c>
      <c r="Z65" s="5" t="str">
        <f>IF(ISNUMBER(MATCH(A65, TABLEAU_Floristique!B$1:DC$1, 0)), "OUI","NON")</f>
        <v>OUI</v>
      </c>
      <c r="AB65">
        <v>0.92567999999999995</v>
      </c>
      <c r="AC65">
        <v>0.52132999999999996</v>
      </c>
      <c r="AD65">
        <v>0.1192637173216891</v>
      </c>
      <c r="AE65">
        <v>0.46711971908058919</v>
      </c>
      <c r="AF65" s="5">
        <v>1287.36015235573</v>
      </c>
      <c r="AG65" s="5">
        <v>326.36738727080302</v>
      </c>
      <c r="AH65" s="5">
        <v>15538.4474867135</v>
      </c>
      <c r="AI65" s="5">
        <v>479.25111859433599</v>
      </c>
      <c r="AJ65" s="5">
        <v>9.2480000000000007E-2</v>
      </c>
      <c r="AK65" s="5">
        <v>645.35707625613304</v>
      </c>
      <c r="AL65" s="5"/>
      <c r="AM65" s="5"/>
      <c r="AN65" s="5">
        <v>695</v>
      </c>
      <c r="AO65" s="5">
        <v>0</v>
      </c>
      <c r="AP65" s="5">
        <v>199</v>
      </c>
      <c r="AQ65" s="5">
        <v>2678</v>
      </c>
      <c r="AR65" s="5">
        <v>557</v>
      </c>
      <c r="AS65" s="5">
        <v>75</v>
      </c>
      <c r="AT65" s="5">
        <v>4</v>
      </c>
      <c r="AU65" s="5">
        <v>39</v>
      </c>
      <c r="AV65" s="5"/>
      <c r="AW65" s="5"/>
      <c r="AX65" s="5"/>
      <c r="AY65" t="s">
        <v>112</v>
      </c>
      <c r="AZ65" t="s">
        <v>1432</v>
      </c>
      <c r="BA65">
        <v>94.428652823075979</v>
      </c>
    </row>
    <row r="66" spans="1:53" x14ac:dyDescent="0.25">
      <c r="A66" s="5" t="s">
        <v>188</v>
      </c>
      <c r="B66" s="6">
        <v>46147</v>
      </c>
      <c r="C66" s="5" t="s">
        <v>101</v>
      </c>
      <c r="D66" s="5">
        <v>707115.42200000002</v>
      </c>
      <c r="E66" s="5">
        <v>6376842.625</v>
      </c>
      <c r="F66" s="5">
        <v>3</v>
      </c>
      <c r="G66" s="5">
        <v>43.315315246582003</v>
      </c>
      <c r="H66" s="5">
        <v>971</v>
      </c>
      <c r="I66" s="5">
        <v>5</v>
      </c>
      <c r="J66" s="5">
        <v>16</v>
      </c>
      <c r="K66" s="5" t="s">
        <v>115</v>
      </c>
      <c r="L66" s="5">
        <v>5</v>
      </c>
      <c r="M66" s="5">
        <v>4</v>
      </c>
      <c r="N66" s="5">
        <v>4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 t="s">
        <v>103</v>
      </c>
      <c r="V66" s="5" t="s">
        <v>104</v>
      </c>
      <c r="W66" s="5" t="s">
        <v>105</v>
      </c>
      <c r="X66" s="5" t="s">
        <v>111</v>
      </c>
      <c r="Y66" s="5" t="s">
        <v>111</v>
      </c>
      <c r="Z66" s="5" t="str">
        <f>IF(ISNUMBER(MATCH(A66, TABLEAU_Floristique!B$1:DC$1, 0)), "OUI","NON")</f>
        <v>OUI</v>
      </c>
      <c r="AB66">
        <v>0.90307000000000004</v>
      </c>
      <c r="AC66">
        <v>0.48536000000000001</v>
      </c>
      <c r="AD66">
        <v>9.6269561967527895E-2</v>
      </c>
      <c r="AE66">
        <v>0.46061649805412008</v>
      </c>
      <c r="AF66" s="5">
        <v>892.07437801375204</v>
      </c>
      <c r="AG66" s="5">
        <v>282.56958348150999</v>
      </c>
      <c r="AH66" s="5">
        <v>16443.344644285298</v>
      </c>
      <c r="AI66" s="5">
        <v>458.68738123942501</v>
      </c>
      <c r="AJ66" s="5">
        <v>2.0570000000000001E-2</v>
      </c>
      <c r="AK66" s="5">
        <v>620.02932745898397</v>
      </c>
      <c r="AL66" s="5"/>
      <c r="AM66" s="5"/>
      <c r="AN66" s="5">
        <v>690</v>
      </c>
      <c r="AO66" s="5">
        <v>0</v>
      </c>
      <c r="AP66" s="5">
        <v>209</v>
      </c>
      <c r="AQ66" s="5">
        <v>2703</v>
      </c>
      <c r="AR66" s="5">
        <v>593</v>
      </c>
      <c r="AS66" s="5">
        <v>84</v>
      </c>
      <c r="AT66" s="5">
        <v>0</v>
      </c>
      <c r="AU66" s="5">
        <v>43</v>
      </c>
      <c r="AV66" s="5"/>
      <c r="AW66" s="5"/>
      <c r="AX66" s="5"/>
      <c r="AY66" t="s">
        <v>112</v>
      </c>
      <c r="AZ66" t="s">
        <v>1432</v>
      </c>
      <c r="BA66">
        <v>165.7394180903716</v>
      </c>
    </row>
    <row r="67" spans="1:53" x14ac:dyDescent="0.25">
      <c r="A67" s="5" t="s">
        <v>189</v>
      </c>
      <c r="B67" s="6">
        <v>46147</v>
      </c>
      <c r="C67" s="5" t="s">
        <v>101</v>
      </c>
      <c r="D67" s="5">
        <v>706775.93400000001</v>
      </c>
      <c r="E67" s="5">
        <v>6376975.3650000002</v>
      </c>
      <c r="F67" s="5">
        <v>2</v>
      </c>
      <c r="G67" s="5">
        <v>41.185924530029297</v>
      </c>
      <c r="H67" s="5">
        <v>1026</v>
      </c>
      <c r="I67" s="5">
        <v>6</v>
      </c>
      <c r="J67" s="5">
        <v>27</v>
      </c>
      <c r="K67" s="5" t="s">
        <v>115</v>
      </c>
      <c r="L67" s="5">
        <v>5</v>
      </c>
      <c r="M67" s="5">
        <v>4</v>
      </c>
      <c r="N67" s="5" t="s">
        <v>126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 t="s">
        <v>103</v>
      </c>
      <c r="V67" s="5" t="s">
        <v>104</v>
      </c>
      <c r="W67" s="5" t="s">
        <v>105</v>
      </c>
      <c r="X67" s="5" t="s">
        <v>111</v>
      </c>
      <c r="Y67" s="5" t="s">
        <v>111</v>
      </c>
      <c r="Z67" s="5" t="str">
        <f>IF(ISNUMBER(MATCH(A67, TABLEAU_Floristique!B$1:DC$1, 0)), "OUI","NON")</f>
        <v>OUI</v>
      </c>
      <c r="AB67">
        <v>0.74517999999999995</v>
      </c>
      <c r="AC67">
        <v>0.47914000000000001</v>
      </c>
      <c r="AD67">
        <v>0.25000370633023811</v>
      </c>
      <c r="AE67">
        <v>0.45931840518979028</v>
      </c>
      <c r="AF67" s="5">
        <v>1143.8693991474499</v>
      </c>
      <c r="AG67" s="5">
        <v>247.76788569339499</v>
      </c>
      <c r="AH67" s="5">
        <v>16121.8023274675</v>
      </c>
      <c r="AI67" s="5">
        <v>536.24071477280995</v>
      </c>
      <c r="AJ67" s="5">
        <v>3.356E-2</v>
      </c>
      <c r="AK67" s="5">
        <v>544.13285600203994</v>
      </c>
      <c r="AL67" s="5"/>
      <c r="AM67" s="5"/>
      <c r="AN67" s="5">
        <v>695</v>
      </c>
      <c r="AO67" s="5">
        <v>0</v>
      </c>
      <c r="AP67" s="5">
        <v>199</v>
      </c>
      <c r="AQ67" s="5">
        <v>2703</v>
      </c>
      <c r="AR67" s="5">
        <v>557</v>
      </c>
      <c r="AS67" s="5">
        <v>75</v>
      </c>
      <c r="AT67" s="5">
        <v>4</v>
      </c>
      <c r="AU67" s="5">
        <v>39</v>
      </c>
      <c r="AV67" s="5"/>
      <c r="AW67" s="5"/>
      <c r="AX67" s="5"/>
      <c r="AY67" t="s">
        <v>112</v>
      </c>
      <c r="AZ67" t="s">
        <v>1432</v>
      </c>
      <c r="BA67">
        <v>115.9529013614284</v>
      </c>
    </row>
    <row r="68" spans="1:53" x14ac:dyDescent="0.25">
      <c r="A68" s="5" t="s">
        <v>190</v>
      </c>
      <c r="B68" s="6">
        <v>46119</v>
      </c>
      <c r="C68" s="5" t="s">
        <v>101</v>
      </c>
      <c r="D68" s="5">
        <v>691531.76599999995</v>
      </c>
      <c r="E68" s="5">
        <v>6409099.568</v>
      </c>
      <c r="F68" s="5">
        <v>2</v>
      </c>
      <c r="G68" s="5">
        <v>0</v>
      </c>
      <c r="H68" s="5">
        <v>1022</v>
      </c>
      <c r="I68" s="5">
        <v>3</v>
      </c>
      <c r="K68" s="5" t="s">
        <v>115</v>
      </c>
      <c r="L68" s="5">
        <v>5</v>
      </c>
      <c r="M68" s="5">
        <v>3</v>
      </c>
      <c r="N68" s="5">
        <v>3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 t="s">
        <v>103</v>
      </c>
      <c r="V68" s="5" t="s">
        <v>104</v>
      </c>
      <c r="W68" s="5" t="s">
        <v>105</v>
      </c>
      <c r="X68" s="5" t="s">
        <v>191</v>
      </c>
      <c r="Y68" s="5" t="s">
        <v>106</v>
      </c>
      <c r="Z68" s="5" t="str">
        <f>IF(ISNUMBER(MATCH(A68, TABLEAU_Floristique!B$1:DC$1, 0)), "OUI","NON")</f>
        <v>OUI</v>
      </c>
      <c r="AB68">
        <v>0.89497000000000004</v>
      </c>
      <c r="AC68">
        <v>0.51185999999999998</v>
      </c>
      <c r="AD68">
        <v>0.10808882006199</v>
      </c>
      <c r="AE68">
        <v>0.49525595126913141</v>
      </c>
      <c r="AF68" s="5">
        <v>351.39221189448398</v>
      </c>
      <c r="AG68" s="5">
        <v>638.38996309430502</v>
      </c>
      <c r="AH68" s="5">
        <v>16714.7339918461</v>
      </c>
      <c r="AI68" s="5">
        <v>546.36383901079103</v>
      </c>
      <c r="AJ68" s="5">
        <v>0.29064000000000001</v>
      </c>
      <c r="AK68" s="5">
        <v>522.37523235664105</v>
      </c>
      <c r="AL68" s="5"/>
      <c r="AM68" s="5"/>
      <c r="AN68" s="5">
        <v>757</v>
      </c>
      <c r="AO68" s="5">
        <v>0</v>
      </c>
      <c r="AP68" s="5">
        <v>168</v>
      </c>
      <c r="AQ68" s="5">
        <v>2801</v>
      </c>
      <c r="AR68" s="5">
        <v>776</v>
      </c>
      <c r="AS68" s="5">
        <v>74</v>
      </c>
      <c r="AT68" s="5">
        <v>-1</v>
      </c>
      <c r="AU68" s="5">
        <v>34</v>
      </c>
      <c r="AV68" s="5">
        <v>0.72789000000000004</v>
      </c>
      <c r="AW68" s="5">
        <v>6.4999999999999997E-3</v>
      </c>
      <c r="AX68" s="5">
        <v>5.1990000000000001E-2</v>
      </c>
      <c r="AY68" t="s">
        <v>107</v>
      </c>
      <c r="AZ68" t="s">
        <v>1431</v>
      </c>
      <c r="BA68">
        <v>150.32842420207089</v>
      </c>
    </row>
    <row r="69" spans="1:53" x14ac:dyDescent="0.25">
      <c r="A69" s="5" t="s">
        <v>192</v>
      </c>
      <c r="B69" s="5"/>
      <c r="C69" s="5" t="s">
        <v>180</v>
      </c>
      <c r="D69" s="5">
        <v>703340.52800000005</v>
      </c>
      <c r="E69" s="5">
        <v>6376409.7280000001</v>
      </c>
      <c r="F69" s="5">
        <v>2</v>
      </c>
      <c r="G69" s="5">
        <v>232.594650268555</v>
      </c>
      <c r="H69" s="5">
        <v>911</v>
      </c>
      <c r="I69" s="5">
        <v>5</v>
      </c>
      <c r="K69" s="5" t="s">
        <v>115</v>
      </c>
      <c r="L69" s="5">
        <v>3</v>
      </c>
      <c r="M69" s="5">
        <v>2</v>
      </c>
      <c r="N69" s="5">
        <v>5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 t="s">
        <v>103</v>
      </c>
      <c r="V69" s="5" t="s">
        <v>104</v>
      </c>
      <c r="W69" s="5" t="s">
        <v>105</v>
      </c>
      <c r="X69" s="5" t="s">
        <v>116</v>
      </c>
      <c r="Y69" s="5" t="s">
        <v>111</v>
      </c>
      <c r="Z69" s="5" t="str">
        <f>IF(ISNUMBER(MATCH(A69, TABLEAU_Floristique!B$1:DC$1, 0)), "OUI","NON")</f>
        <v>OUI</v>
      </c>
      <c r="AB69">
        <v>0.90039000000000002</v>
      </c>
      <c r="AC69">
        <v>0.88783999999999996</v>
      </c>
      <c r="AD69">
        <v>0.1240008479754829</v>
      </c>
      <c r="AE69">
        <v>0.1223445018324056</v>
      </c>
      <c r="AF69" s="5">
        <v>1509.8484922641501</v>
      </c>
      <c r="AG69" s="5">
        <v>90.315221131340707</v>
      </c>
      <c r="AH69" s="5">
        <v>14109.682103028499</v>
      </c>
      <c r="AI69" s="5">
        <v>224.90890504515599</v>
      </c>
      <c r="AJ69" s="5">
        <v>2.98E-2</v>
      </c>
      <c r="AK69" s="5">
        <v>715.72155896571405</v>
      </c>
      <c r="AL69" s="5"/>
      <c r="AM69" s="5"/>
      <c r="AN69" s="5">
        <v>664</v>
      </c>
      <c r="AO69" s="5">
        <v>0</v>
      </c>
      <c r="AP69" s="5">
        <v>224</v>
      </c>
      <c r="AQ69" s="5">
        <v>2664</v>
      </c>
      <c r="AR69" s="5">
        <v>550</v>
      </c>
      <c r="AS69" s="5">
        <v>76</v>
      </c>
      <c r="AT69" s="5">
        <v>11</v>
      </c>
      <c r="AU69" s="5">
        <v>44</v>
      </c>
      <c r="AV69" s="5">
        <v>0.82143999999999995</v>
      </c>
      <c r="AW69" s="5">
        <v>0.12970000000000001</v>
      </c>
      <c r="AX69" s="5">
        <v>0.51880999999999999</v>
      </c>
      <c r="AY69" t="s">
        <v>112</v>
      </c>
      <c r="AZ69" t="s">
        <v>1432</v>
      </c>
      <c r="BA69">
        <v>103.16868113904211</v>
      </c>
    </row>
    <row r="70" spans="1:53" x14ac:dyDescent="0.25">
      <c r="A70" s="5" t="s">
        <v>193</v>
      </c>
      <c r="C70" s="5" t="s">
        <v>180</v>
      </c>
      <c r="D70" s="5">
        <v>703969.20490000001</v>
      </c>
      <c r="E70" s="5">
        <v>6377706.1689999998</v>
      </c>
      <c r="F70" s="5">
        <v>3</v>
      </c>
      <c r="G70" s="5">
        <v>354.22567749023398</v>
      </c>
      <c r="H70" s="5">
        <v>838</v>
      </c>
      <c r="I70" s="5">
        <v>5</v>
      </c>
      <c r="K70" s="5" t="s">
        <v>115</v>
      </c>
      <c r="L70" s="5">
        <v>5</v>
      </c>
      <c r="M70" s="5">
        <v>1</v>
      </c>
      <c r="N70" s="5">
        <v>2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 t="s">
        <v>103</v>
      </c>
      <c r="V70" s="5" t="s">
        <v>104</v>
      </c>
      <c r="W70" s="5" t="s">
        <v>105</v>
      </c>
      <c r="X70" s="5" t="s">
        <v>116</v>
      </c>
      <c r="Y70" s="5" t="s">
        <v>111</v>
      </c>
      <c r="Z70" s="5" t="str">
        <f>IF(ISNUMBER(MATCH(A70, TABLEAU_Floristique!B$1:DC$1, 0)), "OUI","NON")</f>
        <v>OUI</v>
      </c>
      <c r="AB70">
        <v>0.76766000000000001</v>
      </c>
      <c r="AC70">
        <v>0.78863000000000005</v>
      </c>
      <c r="AD70">
        <v>0.2038419624523235</v>
      </c>
      <c r="AE70">
        <v>0.19220732079813091</v>
      </c>
      <c r="AF70" s="5">
        <v>1243.76164973249</v>
      </c>
      <c r="AG70" s="5">
        <v>94.986620242112394</v>
      </c>
      <c r="AH70" s="5">
        <v>13678.916494466401</v>
      </c>
      <c r="AI70" s="5">
        <v>456.83368805854599</v>
      </c>
      <c r="AJ70" s="5">
        <v>0.30948999999999999</v>
      </c>
      <c r="AK70" s="5">
        <v>194.05869134094601</v>
      </c>
      <c r="AL70" s="5">
        <v>257.34357</v>
      </c>
      <c r="AM70" s="5">
        <v>1249.0932499999999</v>
      </c>
      <c r="AN70" s="5">
        <v>659</v>
      </c>
      <c r="AO70" s="5">
        <v>0</v>
      </c>
      <c r="AP70" s="5">
        <v>226</v>
      </c>
      <c r="AQ70" s="5">
        <v>2665</v>
      </c>
      <c r="AR70" s="5">
        <v>415</v>
      </c>
      <c r="AS70" s="5">
        <v>90</v>
      </c>
      <c r="AT70" s="5">
        <v>0</v>
      </c>
      <c r="AU70" s="5">
        <v>48</v>
      </c>
      <c r="AV70" s="5">
        <v>0.82143999999999995</v>
      </c>
      <c r="AW70" s="5">
        <v>0.12970000000000001</v>
      </c>
      <c r="AX70" s="5">
        <v>0.51880999999999999</v>
      </c>
      <c r="AY70" t="s">
        <v>112</v>
      </c>
      <c r="AZ70" t="s">
        <v>1432</v>
      </c>
      <c r="BA70">
        <v>98.789760932464887</v>
      </c>
    </row>
    <row r="71" spans="1:53" x14ac:dyDescent="0.25">
      <c r="A71" s="5" t="s">
        <v>194</v>
      </c>
      <c r="B71" s="6">
        <v>46147</v>
      </c>
      <c r="C71" s="5" t="s">
        <v>101</v>
      </c>
      <c r="D71" s="5">
        <v>708233.83</v>
      </c>
      <c r="E71" s="5">
        <v>6378253.0219999999</v>
      </c>
      <c r="F71" s="5">
        <v>3</v>
      </c>
      <c r="G71" s="5">
        <v>82.724998474121094</v>
      </c>
      <c r="H71" s="5">
        <v>932</v>
      </c>
      <c r="I71" s="5">
        <v>6</v>
      </c>
      <c r="J71" s="5">
        <v>24</v>
      </c>
      <c r="K71" s="5" t="s">
        <v>109</v>
      </c>
      <c r="L71" s="5">
        <v>5</v>
      </c>
      <c r="M71" s="5">
        <v>5</v>
      </c>
      <c r="N71" s="5">
        <v>2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 t="s">
        <v>103</v>
      </c>
      <c r="V71" s="5" t="s">
        <v>104</v>
      </c>
      <c r="W71" s="5" t="s">
        <v>105</v>
      </c>
      <c r="X71" s="5" t="s">
        <v>111</v>
      </c>
      <c r="Y71" s="5" t="s">
        <v>111</v>
      </c>
      <c r="Z71" s="5" t="str">
        <f>IF(ISNUMBER(MATCH(A71, TABLEAU_Floristique!B$1:DC$1, 0)), "OUI","NON")</f>
        <v>OUI</v>
      </c>
      <c r="AB71">
        <v>0.90569</v>
      </c>
      <c r="AC71">
        <v>0.79246000000000005</v>
      </c>
      <c r="AD71">
        <v>6.5500546257225373E-2</v>
      </c>
      <c r="AE71">
        <v>0.15564018394740581</v>
      </c>
      <c r="AF71" s="5">
        <v>40.3273117941065</v>
      </c>
      <c r="AG71" s="5">
        <v>193.07706177604601</v>
      </c>
      <c r="AH71" s="5">
        <v>16130.271998530499</v>
      </c>
      <c r="AI71" s="5">
        <v>169.30364668108299</v>
      </c>
      <c r="AJ71" s="5">
        <v>8.8190000000000004E-2</v>
      </c>
      <c r="AK71" s="5">
        <v>437.44102663523603</v>
      </c>
      <c r="AL71" s="5"/>
      <c r="AM71" s="5">
        <v>294.60435999999999</v>
      </c>
      <c r="AN71" s="5">
        <v>684</v>
      </c>
      <c r="AO71" s="5">
        <v>0</v>
      </c>
      <c r="AP71" s="5">
        <v>211</v>
      </c>
      <c r="AQ71" s="5">
        <v>2673</v>
      </c>
      <c r="AR71" s="5">
        <v>629</v>
      </c>
      <c r="AS71" s="5">
        <v>82</v>
      </c>
      <c r="AT71" s="5">
        <v>-1</v>
      </c>
      <c r="AU71" s="5">
        <v>41</v>
      </c>
      <c r="AV71" s="5"/>
      <c r="AW71" s="5"/>
      <c r="AX71" s="5"/>
      <c r="AY71" t="s">
        <v>112</v>
      </c>
      <c r="AZ71" t="s">
        <v>1432</v>
      </c>
      <c r="BA71">
        <v>29.550522567191582</v>
      </c>
    </row>
    <row r="72" spans="1:53" x14ac:dyDescent="0.25">
      <c r="A72" s="5" t="s">
        <v>195</v>
      </c>
      <c r="B72" s="12">
        <v>46057</v>
      </c>
      <c r="C72" s="5" t="s">
        <v>101</v>
      </c>
      <c r="D72" s="5">
        <v>698741.90800000005</v>
      </c>
      <c r="E72" s="5">
        <v>6375618.3540000003</v>
      </c>
      <c r="F72" s="5">
        <v>3</v>
      </c>
      <c r="G72" s="5">
        <v>98.285797119140597</v>
      </c>
      <c r="H72" s="5">
        <v>523</v>
      </c>
      <c r="I72" s="5">
        <v>5</v>
      </c>
      <c r="J72" s="5">
        <v>27</v>
      </c>
      <c r="K72" s="5" t="s">
        <v>118</v>
      </c>
      <c r="L72" s="5">
        <v>5</v>
      </c>
      <c r="M72" s="5">
        <v>5</v>
      </c>
      <c r="N72" s="5">
        <v>4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 t="s">
        <v>103</v>
      </c>
      <c r="V72" s="5" t="s">
        <v>104</v>
      </c>
      <c r="W72" s="5" t="s">
        <v>105</v>
      </c>
      <c r="X72" s="5" t="s">
        <v>119</v>
      </c>
      <c r="Y72" s="5" t="s">
        <v>111</v>
      </c>
      <c r="Z72" s="5" t="str">
        <f>IF(ISNUMBER(MATCH(A72, TABLEAU_Floristique!B$1:DC$1, 0)), "OUI","NON")</f>
        <v>OUI</v>
      </c>
      <c r="AB72">
        <v>0.80318999999999996</v>
      </c>
      <c r="AC72">
        <v>0.77859</v>
      </c>
      <c r="AD72">
        <v>0.16118902934669591</v>
      </c>
      <c r="AE72">
        <v>0.17971843668612489</v>
      </c>
      <c r="AF72" s="5">
        <v>55.747984063948998</v>
      </c>
      <c r="AG72" s="5">
        <v>194.25502150518199</v>
      </c>
      <c r="AH72" s="5">
        <v>11829.1305596372</v>
      </c>
      <c r="AI72" s="5">
        <v>165.780714740939</v>
      </c>
      <c r="AJ72" s="5">
        <v>0.60162000000000004</v>
      </c>
      <c r="AK72" s="5">
        <v>116.461894970112</v>
      </c>
      <c r="AL72" s="5">
        <v>581.70258999999999</v>
      </c>
      <c r="AM72" s="5">
        <v>2150.7502599999998</v>
      </c>
      <c r="AN72" s="5">
        <v>616</v>
      </c>
      <c r="AO72" s="5">
        <v>0</v>
      </c>
      <c r="AP72" s="5">
        <v>263</v>
      </c>
      <c r="AQ72" s="5">
        <v>2639</v>
      </c>
      <c r="AR72" s="5">
        <v>619</v>
      </c>
      <c r="AS72" s="5">
        <v>99</v>
      </c>
      <c r="AT72" s="5">
        <v>11</v>
      </c>
      <c r="AU72" s="5">
        <v>56</v>
      </c>
      <c r="AV72" s="5">
        <v>0.99497000000000002</v>
      </c>
      <c r="AW72" s="5">
        <v>0.21240999999999999</v>
      </c>
      <c r="AX72" s="5">
        <v>0.80491999999999997</v>
      </c>
      <c r="AY72" t="s">
        <v>112</v>
      </c>
      <c r="AZ72" t="s">
        <v>1432</v>
      </c>
      <c r="BA72">
        <v>125.4231596637144</v>
      </c>
    </row>
    <row r="73" spans="1:53" x14ac:dyDescent="0.25">
      <c r="A73" s="5" t="s">
        <v>196</v>
      </c>
      <c r="B73" s="6">
        <v>46206</v>
      </c>
      <c r="C73" s="5" t="s">
        <v>101</v>
      </c>
      <c r="D73" s="5">
        <v>708439.05299999996</v>
      </c>
      <c r="E73" s="5">
        <v>6381573.659</v>
      </c>
      <c r="F73" s="5">
        <v>2</v>
      </c>
      <c r="G73" s="5">
        <v>257.47119140625</v>
      </c>
      <c r="H73" s="5">
        <v>1175</v>
      </c>
      <c r="I73" s="5">
        <v>5</v>
      </c>
      <c r="J73" s="5">
        <v>22</v>
      </c>
      <c r="K73" s="5" t="s">
        <v>115</v>
      </c>
      <c r="L73" s="5">
        <v>4</v>
      </c>
      <c r="M73" s="5">
        <v>4</v>
      </c>
      <c r="N73" s="5" t="s">
        <v>126</v>
      </c>
      <c r="O73" s="5">
        <v>1</v>
      </c>
      <c r="P73" s="5">
        <v>0</v>
      </c>
      <c r="Q73" s="5">
        <v>0</v>
      </c>
      <c r="R73" s="5">
        <v>1</v>
      </c>
      <c r="S73" s="5">
        <v>0</v>
      </c>
      <c r="T73" s="5">
        <v>0</v>
      </c>
      <c r="U73" s="5" t="s">
        <v>103</v>
      </c>
      <c r="V73" s="5" t="s">
        <v>104</v>
      </c>
      <c r="W73" s="5" t="s">
        <v>105</v>
      </c>
      <c r="X73" s="5" t="s">
        <v>106</v>
      </c>
      <c r="Y73" s="5" t="s">
        <v>106</v>
      </c>
      <c r="Z73" s="5" t="str">
        <f>IF(ISNUMBER(MATCH(A73, TABLEAU_Floristique!B$1:DC$1, 0)), "OUI","NON")</f>
        <v>OUI</v>
      </c>
      <c r="AB73">
        <v>0.90330999999999995</v>
      </c>
      <c r="AC73">
        <v>0.66059000000000001</v>
      </c>
      <c r="AD73">
        <v>2.201702442583045E-2</v>
      </c>
      <c r="AE73">
        <v>0.1898750298096763</v>
      </c>
      <c r="AF73" s="5">
        <v>2337.2106073888299</v>
      </c>
      <c r="AG73" s="5">
        <v>642.360485467084</v>
      </c>
      <c r="AH73" s="5">
        <v>13599.430736082501</v>
      </c>
      <c r="AI73" s="5">
        <v>287.37304656206402</v>
      </c>
      <c r="AJ73" s="5">
        <v>0.48325000000000001</v>
      </c>
      <c r="AK73" s="5">
        <v>962.55004300570499</v>
      </c>
      <c r="AL73" s="5"/>
      <c r="AM73" s="5"/>
      <c r="AN73" s="5">
        <v>692</v>
      </c>
      <c r="AO73" s="5">
        <v>0</v>
      </c>
      <c r="AP73" s="5">
        <v>163</v>
      </c>
      <c r="AQ73" s="5">
        <v>2589</v>
      </c>
      <c r="AR73" s="5">
        <v>428</v>
      </c>
      <c r="AS73" s="5">
        <v>67</v>
      </c>
      <c r="AT73" s="5">
        <v>-7</v>
      </c>
      <c r="AU73" s="5">
        <v>30</v>
      </c>
      <c r="AV73" s="5"/>
      <c r="AW73" s="5"/>
      <c r="AX73" s="5"/>
      <c r="AY73" t="s">
        <v>112</v>
      </c>
      <c r="AZ73" t="s">
        <v>1465</v>
      </c>
      <c r="BA73">
        <v>217.9785145990642</v>
      </c>
    </row>
    <row r="74" spans="1:53" x14ac:dyDescent="0.25">
      <c r="A74" s="5" t="s">
        <v>197</v>
      </c>
      <c r="B74" s="6">
        <v>46183</v>
      </c>
      <c r="C74" s="5" t="s">
        <v>101</v>
      </c>
      <c r="D74" s="5">
        <v>710341.00899999996</v>
      </c>
      <c r="E74" s="5">
        <v>6385437.2699999996</v>
      </c>
      <c r="F74" s="5">
        <v>1</v>
      </c>
      <c r="G74" s="5">
        <v>225</v>
      </c>
      <c r="H74" s="5">
        <v>1402</v>
      </c>
      <c r="I74" s="5">
        <v>8</v>
      </c>
      <c r="J74" s="5">
        <v>13</v>
      </c>
      <c r="K74" s="5" t="s">
        <v>102</v>
      </c>
      <c r="L74" s="5">
        <v>4</v>
      </c>
      <c r="M74" s="5">
        <v>2</v>
      </c>
      <c r="N74" s="5">
        <v>5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 t="s">
        <v>103</v>
      </c>
      <c r="V74" s="5" t="s">
        <v>104</v>
      </c>
      <c r="W74" s="5" t="s">
        <v>105</v>
      </c>
      <c r="X74" s="5" t="s">
        <v>110</v>
      </c>
      <c r="Y74" s="5" t="s">
        <v>139</v>
      </c>
      <c r="Z74" s="5" t="str">
        <f>IF(ISNUMBER(MATCH(A74, TABLEAU_Floristique!B$1:DC$1, 0)), "OUI","NON")</f>
        <v>OUI</v>
      </c>
      <c r="AB74">
        <v>0.79735999999999996</v>
      </c>
      <c r="AC74">
        <v>0.66091</v>
      </c>
      <c r="AD74">
        <v>0.2077472608924</v>
      </c>
      <c r="AE74">
        <v>0.27991523413259112</v>
      </c>
      <c r="AF74" s="5">
        <v>484.21854695171203</v>
      </c>
      <c r="AG74" s="5">
        <v>56.520925502929103</v>
      </c>
      <c r="AH74" s="5">
        <v>10180.4063312696</v>
      </c>
      <c r="AI74" s="5">
        <v>638.93919899611797</v>
      </c>
      <c r="AJ74" s="5"/>
      <c r="AK74" s="5">
        <v>568.89478445573695</v>
      </c>
      <c r="AL74" s="5"/>
      <c r="AM74" s="5"/>
      <c r="AN74" s="5">
        <v>685</v>
      </c>
      <c r="AO74" s="5">
        <v>0</v>
      </c>
      <c r="AP74" s="5">
        <v>127</v>
      </c>
      <c r="AQ74" s="5">
        <v>2438</v>
      </c>
      <c r="AR74" s="5">
        <v>439</v>
      </c>
      <c r="AS74" s="5">
        <v>52</v>
      </c>
      <c r="AT74" s="5">
        <v>-4</v>
      </c>
      <c r="AU74" s="5">
        <v>23</v>
      </c>
      <c r="AV74" s="5"/>
      <c r="AW74" s="5"/>
      <c r="AX74" s="5"/>
      <c r="AY74" t="s">
        <v>112</v>
      </c>
      <c r="AZ74" t="s">
        <v>1465</v>
      </c>
      <c r="BA74">
        <v>86.932133764803453</v>
      </c>
    </row>
    <row r="75" spans="1:53" x14ac:dyDescent="0.25">
      <c r="A75" s="5" t="s">
        <v>198</v>
      </c>
      <c r="B75" s="6">
        <v>46183</v>
      </c>
      <c r="C75" s="5" t="s">
        <v>101</v>
      </c>
      <c r="D75" s="5">
        <v>710638.59900000005</v>
      </c>
      <c r="E75" s="5">
        <v>6385210.9819999998</v>
      </c>
      <c r="F75" s="5">
        <v>1</v>
      </c>
      <c r="G75" s="5">
        <v>165.96374511718801</v>
      </c>
      <c r="H75" s="5">
        <v>1394</v>
      </c>
      <c r="I75" s="5">
        <v>8</v>
      </c>
      <c r="J75" s="5">
        <v>19</v>
      </c>
      <c r="K75" s="5" t="s">
        <v>115</v>
      </c>
      <c r="L75" s="5">
        <v>4</v>
      </c>
      <c r="M75" s="5">
        <v>3</v>
      </c>
      <c r="N75" s="5">
        <v>5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 t="s">
        <v>103</v>
      </c>
      <c r="V75" s="5" t="s">
        <v>104</v>
      </c>
      <c r="W75" s="5" t="s">
        <v>105</v>
      </c>
      <c r="X75" s="5" t="s">
        <v>138</v>
      </c>
      <c r="Y75" s="5" t="s">
        <v>139</v>
      </c>
      <c r="Z75" s="5" t="str">
        <f>IF(ISNUMBER(MATCH(A75, TABLEAU_Floristique!B$1:DC$1, 0)), "OUI","NON")</f>
        <v>OUI</v>
      </c>
      <c r="AB75">
        <v>0.91927999999999999</v>
      </c>
      <c r="AC75">
        <v>0.90027000000000001</v>
      </c>
      <c r="AD75">
        <v>0.1477193981953186</v>
      </c>
      <c r="AE75">
        <v>0.1223697183227701</v>
      </c>
      <c r="AF75" s="5">
        <v>692.40005035014804</v>
      </c>
      <c r="AG75" s="5">
        <v>46.989796330314803</v>
      </c>
      <c r="AH75" s="5">
        <v>10490.049177529299</v>
      </c>
      <c r="AI75" s="5">
        <v>322.95134048998699</v>
      </c>
      <c r="AJ75" s="5"/>
      <c r="AK75" s="5">
        <v>813.80090681014406</v>
      </c>
      <c r="AL75" s="5"/>
      <c r="AM75" s="5"/>
      <c r="AN75" s="5">
        <v>685</v>
      </c>
      <c r="AO75" s="5">
        <v>0</v>
      </c>
      <c r="AP75" s="5">
        <v>127</v>
      </c>
      <c r="AQ75" s="5">
        <v>2411</v>
      </c>
      <c r="AR75" s="5">
        <v>439</v>
      </c>
      <c r="AS75" s="5">
        <v>52</v>
      </c>
      <c r="AT75" s="5">
        <v>-4</v>
      </c>
      <c r="AU75" s="5">
        <v>23</v>
      </c>
      <c r="AV75" s="5"/>
      <c r="AW75" s="5"/>
      <c r="AX75" s="5"/>
      <c r="AY75" t="s">
        <v>112</v>
      </c>
      <c r="AZ75" t="s">
        <v>1465</v>
      </c>
      <c r="BA75">
        <v>28.237796036530991</v>
      </c>
    </row>
    <row r="76" spans="1:53" x14ac:dyDescent="0.25">
      <c r="A76" s="5" t="s">
        <v>199</v>
      </c>
      <c r="B76" s="6">
        <v>46147</v>
      </c>
      <c r="C76" s="5" t="s">
        <v>101</v>
      </c>
      <c r="D76" s="5">
        <v>706673.56700000004</v>
      </c>
      <c r="E76" s="5">
        <v>6378050.1500000004</v>
      </c>
      <c r="F76" s="5">
        <v>3</v>
      </c>
      <c r="G76" s="5">
        <v>82.146682739257798</v>
      </c>
      <c r="H76" s="5">
        <v>957</v>
      </c>
      <c r="I76" s="5">
        <v>3</v>
      </c>
      <c r="J76" s="5">
        <v>19</v>
      </c>
      <c r="K76" s="5" t="s">
        <v>115</v>
      </c>
      <c r="L76" s="5">
        <v>4</v>
      </c>
      <c r="M76" s="5">
        <v>3</v>
      </c>
      <c r="N76" s="5">
        <v>3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 t="s">
        <v>103</v>
      </c>
      <c r="V76" s="5" t="s">
        <v>104</v>
      </c>
      <c r="W76" s="5" t="s">
        <v>105</v>
      </c>
      <c r="X76" s="5" t="s">
        <v>110</v>
      </c>
      <c r="Y76" s="5" t="s">
        <v>111</v>
      </c>
      <c r="Z76" s="5" t="str">
        <f>IF(ISNUMBER(MATCH(A76, TABLEAU_Floristique!B$1:DC$1, 0)), "OUI","NON")</f>
        <v>OUI</v>
      </c>
      <c r="AB76">
        <v>0.38025999999999999</v>
      </c>
      <c r="AC76">
        <v>0.23912</v>
      </c>
      <c r="AD76">
        <v>0.54828473379828502</v>
      </c>
      <c r="AE76">
        <v>0.51956619448870256</v>
      </c>
      <c r="AF76" s="5">
        <v>880.08534051456695</v>
      </c>
      <c r="AG76" s="5">
        <v>68.676247325896497</v>
      </c>
      <c r="AH76" s="5">
        <v>15244.1929923514</v>
      </c>
      <c r="AI76" s="5">
        <v>23.9189060908536</v>
      </c>
      <c r="AJ76" s="5">
        <v>9.7999999999999997E-4</v>
      </c>
      <c r="AK76" s="5">
        <v>442.752635666088</v>
      </c>
      <c r="AL76" s="5"/>
      <c r="AM76" s="5">
        <v>1836.52296</v>
      </c>
      <c r="AN76" s="5">
        <v>697</v>
      </c>
      <c r="AO76" s="5">
        <v>0</v>
      </c>
      <c r="AP76" s="5">
        <v>193</v>
      </c>
      <c r="AQ76" s="5">
        <v>2669</v>
      </c>
      <c r="AR76" s="5">
        <v>543</v>
      </c>
      <c r="AS76" s="5">
        <v>76</v>
      </c>
      <c r="AT76" s="5">
        <v>2</v>
      </c>
      <c r="AU76" s="5">
        <v>37</v>
      </c>
      <c r="AV76" s="5"/>
      <c r="AW76" s="5"/>
      <c r="AX76" s="5"/>
      <c r="AY76" t="s">
        <v>112</v>
      </c>
      <c r="AZ76" t="s">
        <v>1432</v>
      </c>
      <c r="BA76">
        <v>26.106786906005571</v>
      </c>
    </row>
    <row r="77" spans="1:53" x14ac:dyDescent="0.25">
      <c r="A77" s="5" t="s">
        <v>200</v>
      </c>
      <c r="B77" s="6">
        <v>46197</v>
      </c>
      <c r="C77" s="5" t="s">
        <v>101</v>
      </c>
      <c r="D77" s="5">
        <v>690660.08</v>
      </c>
      <c r="E77" s="5">
        <v>6413465.7199999997</v>
      </c>
      <c r="F77" s="5">
        <v>3</v>
      </c>
      <c r="G77" s="5">
        <v>61.144340515136697</v>
      </c>
      <c r="H77" s="5">
        <v>990</v>
      </c>
      <c r="I77" s="5">
        <v>4</v>
      </c>
      <c r="K77" s="5" t="s">
        <v>118</v>
      </c>
      <c r="L77" s="5">
        <v>5</v>
      </c>
      <c r="M77" s="5">
        <v>3</v>
      </c>
      <c r="N77" s="5">
        <v>1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 t="s">
        <v>103</v>
      </c>
      <c r="V77" s="5" t="s">
        <v>104</v>
      </c>
      <c r="W77" s="5" t="s">
        <v>105</v>
      </c>
      <c r="X77" s="5" t="s">
        <v>106</v>
      </c>
      <c r="Y77" s="5" t="s">
        <v>106</v>
      </c>
      <c r="Z77" s="5" t="str">
        <f>IF(ISNUMBER(MATCH(A77, TABLEAU_Floristique!B$1:DC$1, 0)), "OUI","NON")</f>
        <v>OUI</v>
      </c>
      <c r="AB77">
        <v>0.97943000000000002</v>
      </c>
      <c r="AC77">
        <v>0.93098999999999998</v>
      </c>
      <c r="AD77">
        <v>6.739864288101572E-3</v>
      </c>
      <c r="AE77">
        <v>2.8394407490120219E-2</v>
      </c>
      <c r="AF77" s="5">
        <v>736.02507892015399</v>
      </c>
      <c r="AG77" s="5">
        <v>413.00392104682902</v>
      </c>
      <c r="AH77" s="5">
        <v>20972.931247156099</v>
      </c>
      <c r="AI77" s="5">
        <v>737.50033274571695</v>
      </c>
      <c r="AJ77" s="5">
        <v>0.23202999999999999</v>
      </c>
      <c r="AK77" s="5">
        <v>678.23817704427904</v>
      </c>
      <c r="AL77" s="5"/>
      <c r="AM77" s="5"/>
      <c r="AN77" s="5">
        <v>763</v>
      </c>
      <c r="AO77" s="5">
        <v>0</v>
      </c>
      <c r="AP77" s="5">
        <v>178</v>
      </c>
      <c r="AQ77" s="5">
        <v>2814</v>
      </c>
      <c r="AR77" s="5">
        <v>764</v>
      </c>
      <c r="AS77" s="5">
        <v>71</v>
      </c>
      <c r="AT77" s="5">
        <v>5</v>
      </c>
      <c r="AU77" s="5">
        <v>36</v>
      </c>
      <c r="AV77" s="5"/>
      <c r="AW77" s="5"/>
      <c r="AX77" s="5"/>
      <c r="AY77" t="s">
        <v>107</v>
      </c>
      <c r="AZ77" t="s">
        <v>1431</v>
      </c>
      <c r="BA77">
        <v>226.55764123054621</v>
      </c>
    </row>
    <row r="78" spans="1:53" x14ac:dyDescent="0.25">
      <c r="A78" s="5" t="s">
        <v>201</v>
      </c>
      <c r="B78" s="6">
        <v>46196</v>
      </c>
      <c r="C78" s="5" t="s">
        <v>101</v>
      </c>
      <c r="D78" s="5">
        <v>686771.69299999997</v>
      </c>
      <c r="E78" s="5">
        <v>6399981.7989999996</v>
      </c>
      <c r="F78" s="5">
        <v>2</v>
      </c>
      <c r="G78" s="5">
        <v>5.7105941772460902</v>
      </c>
      <c r="H78" s="5">
        <v>960</v>
      </c>
      <c r="I78" s="5">
        <v>1</v>
      </c>
      <c r="J78" s="5">
        <v>22</v>
      </c>
      <c r="K78" s="5" t="s">
        <v>115</v>
      </c>
      <c r="L78" s="5">
        <v>4</v>
      </c>
      <c r="M78" s="5">
        <v>5</v>
      </c>
      <c r="N78" s="5">
        <v>5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 t="s">
        <v>103</v>
      </c>
      <c r="V78" s="5" t="s">
        <v>104</v>
      </c>
      <c r="W78" s="5" t="s">
        <v>105</v>
      </c>
      <c r="X78" s="5" t="s">
        <v>106</v>
      </c>
      <c r="Y78" s="5" t="s">
        <v>106</v>
      </c>
      <c r="Z78" s="5" t="str">
        <f>IF(ISNUMBER(MATCH(A78, TABLEAU_Floristique!B$1:DC$1, 0)), "OUI","NON")</f>
        <v>OUI</v>
      </c>
      <c r="AB78">
        <v>0.84131</v>
      </c>
      <c r="AC78">
        <v>0.50907000000000002</v>
      </c>
      <c r="AD78">
        <v>0.13940017611234479</v>
      </c>
      <c r="AE78">
        <v>0.50094259899790827</v>
      </c>
      <c r="AF78" s="5">
        <v>172.10207625170901</v>
      </c>
      <c r="AG78" s="5">
        <v>163.03513011056799</v>
      </c>
      <c r="AH78" s="5">
        <v>13589.359026268001</v>
      </c>
      <c r="AI78" s="5">
        <v>82.514933293386207</v>
      </c>
      <c r="AJ78" s="5">
        <v>0.28484999999999999</v>
      </c>
      <c r="AK78" s="5">
        <v>134.02958348864499</v>
      </c>
      <c r="AL78" s="5">
        <v>2038.6926900000001</v>
      </c>
      <c r="AM78" s="5">
        <v>2854.9927200000002</v>
      </c>
      <c r="AN78" s="5">
        <v>780</v>
      </c>
      <c r="AO78" s="5">
        <v>0</v>
      </c>
      <c r="AP78" s="5">
        <v>185</v>
      </c>
      <c r="AQ78" s="5">
        <v>2886</v>
      </c>
      <c r="AR78" s="5">
        <v>786</v>
      </c>
      <c r="AS78" s="5">
        <v>77</v>
      </c>
      <c r="AT78" s="5">
        <v>1</v>
      </c>
      <c r="AU78" s="5">
        <v>37</v>
      </c>
      <c r="AV78" s="5">
        <v>0.31303999999999998</v>
      </c>
      <c r="AW78" s="5">
        <v>0.15651999999999999</v>
      </c>
      <c r="AX78" s="5">
        <v>0.42259999999999998</v>
      </c>
      <c r="AY78" t="s">
        <v>107</v>
      </c>
      <c r="AZ78" t="s">
        <v>1427</v>
      </c>
      <c r="BA78">
        <v>95.21688847100387</v>
      </c>
    </row>
    <row r="79" spans="1:53" x14ac:dyDescent="0.25">
      <c r="A79" s="5" t="s">
        <v>202</v>
      </c>
      <c r="B79" s="6">
        <v>46196</v>
      </c>
      <c r="C79" s="5" t="s">
        <v>101</v>
      </c>
      <c r="D79" s="5">
        <v>686449.56799999997</v>
      </c>
      <c r="E79" s="5">
        <v>6400071.9349999996</v>
      </c>
      <c r="F79" s="5">
        <v>2</v>
      </c>
      <c r="G79" s="5">
        <v>29.475887298583999</v>
      </c>
      <c r="H79" s="5">
        <v>964</v>
      </c>
      <c r="I79" s="5">
        <v>1</v>
      </c>
      <c r="J79" s="5">
        <v>10</v>
      </c>
      <c r="K79" s="5" t="s">
        <v>115</v>
      </c>
      <c r="L79" s="5">
        <v>4</v>
      </c>
      <c r="M79" s="5">
        <v>5</v>
      </c>
      <c r="N79" s="5">
        <v>5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 t="s">
        <v>103</v>
      </c>
      <c r="V79" s="5" t="s">
        <v>104</v>
      </c>
      <c r="W79" s="5" t="s">
        <v>105</v>
      </c>
      <c r="X79" s="5" t="s">
        <v>106</v>
      </c>
      <c r="Y79" s="5" t="s">
        <v>106</v>
      </c>
      <c r="Z79" s="5" t="str">
        <f>IF(ISNUMBER(MATCH(A79, TABLEAU_Floristique!B$1:DC$1, 0)), "OUI","NON")</f>
        <v>OUI</v>
      </c>
      <c r="AB79">
        <v>0.73299999999999998</v>
      </c>
      <c r="AC79">
        <v>0.54034000000000004</v>
      </c>
      <c r="AD79">
        <v>0.30310373018529058</v>
      </c>
      <c r="AE79">
        <v>0.48608547348684189</v>
      </c>
      <c r="AF79" s="5">
        <v>401.67031686335901</v>
      </c>
      <c r="AG79" s="5">
        <v>304.17800290145198</v>
      </c>
      <c r="AH79" s="5">
        <v>13917.857037808501</v>
      </c>
      <c r="AI79" s="5">
        <v>205.45313589633599</v>
      </c>
      <c r="AJ79" s="5">
        <v>0.24112</v>
      </c>
      <c r="AK79" s="5">
        <v>269.442923174957</v>
      </c>
      <c r="AL79" s="5"/>
      <c r="AM79" s="5">
        <v>2759.1994599999998</v>
      </c>
      <c r="AN79" s="5">
        <v>780</v>
      </c>
      <c r="AO79" s="5">
        <v>0</v>
      </c>
      <c r="AP79" s="5">
        <v>185</v>
      </c>
      <c r="AQ79" s="5">
        <v>2914</v>
      </c>
      <c r="AR79" s="5">
        <v>786</v>
      </c>
      <c r="AS79" s="5">
        <v>77</v>
      </c>
      <c r="AT79" s="5">
        <v>1</v>
      </c>
      <c r="AU79" s="5">
        <v>37</v>
      </c>
      <c r="AV79" s="5">
        <v>0.31303999999999998</v>
      </c>
      <c r="AW79" s="5">
        <v>0.15651999999999999</v>
      </c>
      <c r="AX79" s="5">
        <v>0.42259999999999998</v>
      </c>
      <c r="AY79" t="s">
        <v>107</v>
      </c>
      <c r="AZ79" t="s">
        <v>1427</v>
      </c>
      <c r="BA79">
        <v>39.407834862124439</v>
      </c>
    </row>
    <row r="80" spans="1:53" x14ac:dyDescent="0.25">
      <c r="A80" s="5" t="s">
        <v>203</v>
      </c>
      <c r="B80" s="6">
        <v>46172</v>
      </c>
      <c r="C80" s="5" t="s">
        <v>204</v>
      </c>
      <c r="D80" s="5">
        <v>694117.772</v>
      </c>
      <c r="E80" s="5">
        <v>6397409.6229999997</v>
      </c>
      <c r="F80" s="5">
        <v>1</v>
      </c>
      <c r="G80" s="5">
        <v>227.86241149902301</v>
      </c>
      <c r="H80" s="5">
        <v>1306</v>
      </c>
      <c r="I80" s="5">
        <v>8</v>
      </c>
      <c r="K80" s="5" t="s">
        <v>118</v>
      </c>
      <c r="L80" s="5">
        <v>4</v>
      </c>
      <c r="M80" s="5">
        <v>2</v>
      </c>
      <c r="N80" s="5" t="s">
        <v>126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 t="s">
        <v>103</v>
      </c>
      <c r="V80" s="5" t="s">
        <v>104</v>
      </c>
      <c r="W80" s="5" t="s">
        <v>105</v>
      </c>
      <c r="X80" s="5" t="s">
        <v>106</v>
      </c>
      <c r="Y80" s="5" t="s">
        <v>106</v>
      </c>
      <c r="Z80" s="5" t="str">
        <f>IF(ISNUMBER(MATCH(A80, TABLEAU_Floristique!B$1:DC$1, 0)), "OUI","NON")</f>
        <v>OUI</v>
      </c>
      <c r="AA80" s="7" t="s">
        <v>205</v>
      </c>
      <c r="AB80">
        <v>0.99755000000000005</v>
      </c>
      <c r="AC80">
        <v>0.77356999999999998</v>
      </c>
      <c r="AD80">
        <v>6.6307120849380854E-2</v>
      </c>
      <c r="AE80">
        <v>0.1928934353466403</v>
      </c>
      <c r="AF80" s="5">
        <v>321.45884638730797</v>
      </c>
      <c r="AG80" s="5">
        <v>244.65119806114399</v>
      </c>
      <c r="AH80" s="5">
        <v>5953.2333924247396</v>
      </c>
      <c r="AI80" s="5">
        <v>509.84225042028601</v>
      </c>
      <c r="AJ80" s="5">
        <v>0.72916999999999998</v>
      </c>
      <c r="AK80" s="5">
        <v>231.58223142767901</v>
      </c>
      <c r="AL80" s="5">
        <v>192.68682999999999</v>
      </c>
      <c r="AM80" s="5">
        <v>6685.9648100000004</v>
      </c>
      <c r="AN80" s="5">
        <v>769</v>
      </c>
      <c r="AO80" s="5">
        <v>0</v>
      </c>
      <c r="AP80" s="5">
        <v>126</v>
      </c>
      <c r="AQ80" s="5">
        <v>2704</v>
      </c>
      <c r="AR80" s="5">
        <v>694</v>
      </c>
      <c r="AS80" s="5">
        <v>60</v>
      </c>
      <c r="AT80" s="5">
        <v>-4</v>
      </c>
      <c r="AU80" s="5">
        <v>24</v>
      </c>
      <c r="AV80" s="5">
        <v>0.31303999999999998</v>
      </c>
      <c r="AW80" s="5">
        <v>0.15651999999999999</v>
      </c>
      <c r="AX80" s="5">
        <v>0.42259999999999998</v>
      </c>
      <c r="AY80" t="s">
        <v>112</v>
      </c>
      <c r="AZ80" t="s">
        <v>1429</v>
      </c>
      <c r="BA80">
        <v>86.113467955634704</v>
      </c>
    </row>
    <row r="81" spans="1:53" x14ac:dyDescent="0.25">
      <c r="A81" s="5" t="s">
        <v>206</v>
      </c>
      <c r="C81" s="5" t="s">
        <v>180</v>
      </c>
      <c r="D81" s="5">
        <v>694380.45799999998</v>
      </c>
      <c r="E81" s="5">
        <v>6398557.4179999996</v>
      </c>
      <c r="F81" s="5">
        <v>1</v>
      </c>
      <c r="G81" s="5">
        <v>213.69006347656301</v>
      </c>
      <c r="H81" s="5">
        <v>1327</v>
      </c>
      <c r="I81" s="5">
        <v>8</v>
      </c>
      <c r="K81" s="5" t="s">
        <v>109</v>
      </c>
      <c r="L81" s="5">
        <v>4</v>
      </c>
      <c r="M81" s="5">
        <v>2</v>
      </c>
      <c r="N81" s="5">
        <v>5</v>
      </c>
      <c r="O81" s="5">
        <v>1</v>
      </c>
      <c r="P81" s="5">
        <v>0</v>
      </c>
      <c r="Q81" s="5">
        <v>0</v>
      </c>
      <c r="R81" s="5">
        <v>3</v>
      </c>
      <c r="S81" s="5">
        <v>0</v>
      </c>
      <c r="T81" s="5">
        <v>0</v>
      </c>
      <c r="U81" s="5" t="s">
        <v>103</v>
      </c>
      <c r="V81" s="5" t="s">
        <v>104</v>
      </c>
      <c r="W81" s="5" t="s">
        <v>105</v>
      </c>
      <c r="X81" s="5" t="s">
        <v>106</v>
      </c>
      <c r="Y81" s="5" t="s">
        <v>106</v>
      </c>
      <c r="Z81" s="5" t="str">
        <f>IF(ISNUMBER(MATCH(A81, TABLEAU_Floristique!B$1:DC$1, 0)), "OUI","NON")</f>
        <v>OUI</v>
      </c>
      <c r="AB81">
        <v>0.88253000000000004</v>
      </c>
      <c r="AC81">
        <v>0.63765000000000005</v>
      </c>
      <c r="AD81">
        <v>0.12790735781065421</v>
      </c>
      <c r="AE81">
        <v>0.38089804355014328</v>
      </c>
      <c r="AF81" s="5">
        <v>393.39525739590101</v>
      </c>
      <c r="AG81" s="5">
        <v>199.40745564885401</v>
      </c>
      <c r="AH81" s="5">
        <v>6488.8593730208404</v>
      </c>
      <c r="AI81" s="5">
        <v>458.86792488466398</v>
      </c>
      <c r="AJ81" s="5">
        <v>0.49569000000000002</v>
      </c>
      <c r="AK81" s="5">
        <v>429.685659625754</v>
      </c>
      <c r="AL81" s="5"/>
      <c r="AM81" s="5">
        <v>181.67096000000001</v>
      </c>
      <c r="AN81" s="5">
        <v>760</v>
      </c>
      <c r="AO81" s="5">
        <v>0</v>
      </c>
      <c r="AP81" s="5">
        <v>134</v>
      </c>
      <c r="AQ81" s="5">
        <v>2700</v>
      </c>
      <c r="AR81" s="5">
        <v>939</v>
      </c>
      <c r="AS81" s="5">
        <v>55</v>
      </c>
      <c r="AT81" s="5">
        <v>-2</v>
      </c>
      <c r="AU81" s="5">
        <v>24</v>
      </c>
      <c r="AV81" s="5">
        <v>0.31303999999999998</v>
      </c>
      <c r="AW81" s="5">
        <v>0.15651999999999999</v>
      </c>
      <c r="AX81" s="5">
        <v>0.42259999999999998</v>
      </c>
      <c r="AY81" t="s">
        <v>112</v>
      </c>
      <c r="AZ81" t="s">
        <v>1429</v>
      </c>
      <c r="BA81">
        <v>153.19797546958139</v>
      </c>
    </row>
    <row r="82" spans="1:53" x14ac:dyDescent="0.25">
      <c r="A82" s="5" t="s">
        <v>207</v>
      </c>
      <c r="C82" s="5" t="s">
        <v>180</v>
      </c>
      <c r="D82" s="5">
        <v>693897.03200000001</v>
      </c>
      <c r="E82" s="5">
        <v>6397994.8099999996</v>
      </c>
      <c r="F82" s="5">
        <v>3</v>
      </c>
      <c r="G82" s="5">
        <v>291.03750610351602</v>
      </c>
      <c r="H82" s="5">
        <v>1267</v>
      </c>
      <c r="I82" s="5">
        <v>7</v>
      </c>
      <c r="K82" s="5" t="s">
        <v>115</v>
      </c>
      <c r="L82" s="5">
        <v>5</v>
      </c>
      <c r="M82" s="5">
        <v>2</v>
      </c>
      <c r="N82" s="5">
        <v>3</v>
      </c>
      <c r="O82" s="5">
        <v>1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 t="s">
        <v>103</v>
      </c>
      <c r="V82" s="5" t="s">
        <v>104</v>
      </c>
      <c r="W82" s="5" t="s">
        <v>105</v>
      </c>
      <c r="X82" s="5" t="s">
        <v>106</v>
      </c>
      <c r="Y82" s="5" t="s">
        <v>106</v>
      </c>
      <c r="Z82" s="5" t="str">
        <f>IF(ISNUMBER(MATCH(A82, TABLEAU_Floristique!B$1:DC$1, 0)), "OUI","NON")</f>
        <v>OUI</v>
      </c>
      <c r="AB82">
        <v>0.72324999999999995</v>
      </c>
      <c r="AC82">
        <v>0.73917999999999995</v>
      </c>
      <c r="AD82">
        <v>0.34176887710868797</v>
      </c>
      <c r="AE82">
        <v>0.28471716880928338</v>
      </c>
      <c r="AF82" s="5">
        <v>243.43238091274799</v>
      </c>
      <c r="AG82" s="5">
        <v>94.0152813328625</v>
      </c>
      <c r="AH82" s="5">
        <v>6486.2282825859302</v>
      </c>
      <c r="AI82" s="5">
        <v>120.53811806027799</v>
      </c>
      <c r="AJ82" s="5">
        <v>0.65854999999999997</v>
      </c>
      <c r="AK82" s="5">
        <v>812.59283944916899</v>
      </c>
      <c r="AL82" s="5"/>
      <c r="AM82" s="5"/>
      <c r="AN82" s="5">
        <v>766</v>
      </c>
      <c r="AO82" s="5">
        <v>0</v>
      </c>
      <c r="AP82" s="5">
        <v>138</v>
      </c>
      <c r="AQ82" s="5">
        <v>2704</v>
      </c>
      <c r="AR82" s="5">
        <v>822</v>
      </c>
      <c r="AS82" s="5">
        <v>60</v>
      </c>
      <c r="AT82" s="5">
        <v>-2</v>
      </c>
      <c r="AU82" s="5">
        <v>25</v>
      </c>
      <c r="AV82" s="5">
        <v>0.31303999999999998</v>
      </c>
      <c r="AW82" s="5">
        <v>0.15651999999999999</v>
      </c>
      <c r="AX82" s="5">
        <v>0.42259999999999998</v>
      </c>
      <c r="AY82" t="s">
        <v>112</v>
      </c>
      <c r="AZ82" t="s">
        <v>1429</v>
      </c>
      <c r="BA82">
        <v>37.988202431847071</v>
      </c>
    </row>
    <row r="83" spans="1:53" x14ac:dyDescent="0.25">
      <c r="A83" s="5" t="s">
        <v>208</v>
      </c>
      <c r="B83" s="6">
        <v>46172</v>
      </c>
      <c r="C83" s="5" t="s">
        <v>204</v>
      </c>
      <c r="D83" s="5">
        <v>693790.89099999995</v>
      </c>
      <c r="E83" s="5">
        <v>6398732.6189999999</v>
      </c>
      <c r="F83" s="5">
        <v>2</v>
      </c>
      <c r="G83" s="5">
        <v>333.43493652343801</v>
      </c>
      <c r="H83" s="5">
        <v>1302</v>
      </c>
      <c r="I83" s="5">
        <v>6</v>
      </c>
      <c r="K83" s="5" t="s">
        <v>118</v>
      </c>
      <c r="L83" s="5">
        <v>4</v>
      </c>
      <c r="M83" s="5">
        <v>3</v>
      </c>
      <c r="N83" s="5">
        <v>2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 t="s">
        <v>103</v>
      </c>
      <c r="V83" s="5" t="s">
        <v>104</v>
      </c>
      <c r="W83" s="5" t="s">
        <v>105</v>
      </c>
      <c r="X83" s="5" t="s">
        <v>106</v>
      </c>
      <c r="Y83" s="5" t="s">
        <v>106</v>
      </c>
      <c r="Z83" s="5" t="str">
        <f>IF(ISNUMBER(MATCH(A83, TABLEAU_Floristique!B$1:DC$1, 0)), "OUI","NON")</f>
        <v>OUI</v>
      </c>
      <c r="AB83">
        <v>0.88998999999999995</v>
      </c>
      <c r="AC83">
        <v>0.89512999999999998</v>
      </c>
      <c r="AD83">
        <v>0.11234978734433961</v>
      </c>
      <c r="AE83">
        <v>0.11669051806450401</v>
      </c>
      <c r="AF83" s="5">
        <v>500.52604141901401</v>
      </c>
      <c r="AG83" s="5">
        <v>305.05693475483702</v>
      </c>
      <c r="AH83" s="5">
        <v>7048.0983382758895</v>
      </c>
      <c r="AI83" s="5">
        <v>401.88159197376001</v>
      </c>
      <c r="AJ83" s="5">
        <v>0.79366000000000003</v>
      </c>
      <c r="AK83" s="5">
        <v>1011.31185716484</v>
      </c>
      <c r="AL83" s="5"/>
      <c r="AM83" s="5"/>
      <c r="AN83" s="5">
        <v>768</v>
      </c>
      <c r="AO83" s="5">
        <v>0</v>
      </c>
      <c r="AP83" s="5">
        <v>135</v>
      </c>
      <c r="AQ83" s="5">
        <v>2700</v>
      </c>
      <c r="AR83" s="5">
        <v>934</v>
      </c>
      <c r="AS83" s="5">
        <v>56</v>
      </c>
      <c r="AT83" s="5">
        <v>-2</v>
      </c>
      <c r="AU83" s="5">
        <v>25</v>
      </c>
      <c r="AV83" s="5">
        <v>0.31303999999999998</v>
      </c>
      <c r="AW83" s="5">
        <v>0.15651999999999999</v>
      </c>
      <c r="AX83" s="5">
        <v>0.42259999999999998</v>
      </c>
      <c r="AY83" t="s">
        <v>112</v>
      </c>
      <c r="AZ83" t="s">
        <v>1429</v>
      </c>
      <c r="BA83">
        <v>65.390844940255846</v>
      </c>
    </row>
    <row r="84" spans="1:53" x14ac:dyDescent="0.25">
      <c r="A84" s="5" t="s">
        <v>209</v>
      </c>
      <c r="B84" s="6">
        <v>46190</v>
      </c>
      <c r="C84" s="5" t="s">
        <v>101</v>
      </c>
      <c r="D84" s="5">
        <v>693365.36699999997</v>
      </c>
      <c r="E84" s="5">
        <v>6398221.5290000001</v>
      </c>
      <c r="F84" s="5">
        <v>3</v>
      </c>
      <c r="G84" s="5">
        <v>236.30993652343801</v>
      </c>
      <c r="H84" s="5">
        <v>1267</v>
      </c>
      <c r="I84" s="5">
        <v>2</v>
      </c>
      <c r="J84" s="5">
        <v>21</v>
      </c>
      <c r="K84" s="5" t="s">
        <v>115</v>
      </c>
      <c r="L84" s="5">
        <v>5</v>
      </c>
      <c r="M84" s="5">
        <v>3</v>
      </c>
      <c r="N84" s="5">
        <v>1</v>
      </c>
      <c r="O84" s="5">
        <v>1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 t="s">
        <v>103</v>
      </c>
      <c r="V84" s="5" t="s">
        <v>104</v>
      </c>
      <c r="W84" s="5" t="s">
        <v>105</v>
      </c>
      <c r="X84" s="5" t="s">
        <v>106</v>
      </c>
      <c r="Y84" s="5" t="s">
        <v>106</v>
      </c>
      <c r="Z84" s="5" t="str">
        <f>IF(ISNUMBER(MATCH(A84, TABLEAU_Floristique!B$1:DC$1, 0)), "OUI","NON")</f>
        <v>OUI</v>
      </c>
      <c r="AB84">
        <v>0.89029999999999998</v>
      </c>
      <c r="AC84">
        <v>0.78288000000000002</v>
      </c>
      <c r="AD84">
        <v>9.9795636925441661E-2</v>
      </c>
      <c r="AE84">
        <v>0.22206952558078069</v>
      </c>
      <c r="AF84" s="5">
        <v>168.13730131403599</v>
      </c>
      <c r="AG84" s="5">
        <v>284.93367250982101</v>
      </c>
      <c r="AH84" s="5">
        <v>7043.2001894642899</v>
      </c>
      <c r="AI84" s="5">
        <v>333.23390783332701</v>
      </c>
      <c r="AJ84" s="5">
        <v>0.76973999999999998</v>
      </c>
      <c r="AK84" s="5">
        <v>901.57711158272502</v>
      </c>
      <c r="AL84" s="5"/>
      <c r="AM84" s="5"/>
      <c r="AN84" s="5">
        <v>766</v>
      </c>
      <c r="AO84" s="5">
        <v>0</v>
      </c>
      <c r="AP84" s="5">
        <v>138</v>
      </c>
      <c r="AQ84" s="5">
        <v>2728</v>
      </c>
      <c r="AR84" s="5">
        <v>822</v>
      </c>
      <c r="AS84" s="5">
        <v>60</v>
      </c>
      <c r="AT84" s="5">
        <v>-2</v>
      </c>
      <c r="AU84" s="5">
        <v>25</v>
      </c>
      <c r="AV84" s="5">
        <v>0.31303999999999998</v>
      </c>
      <c r="AW84" s="5">
        <v>0.15651999999999999</v>
      </c>
      <c r="AX84" s="5">
        <v>0.42259999999999998</v>
      </c>
      <c r="AY84" t="s">
        <v>112</v>
      </c>
      <c r="AZ84" t="s">
        <v>1429</v>
      </c>
      <c r="BA84">
        <v>94.584305939222531</v>
      </c>
    </row>
    <row r="85" spans="1:53" x14ac:dyDescent="0.25">
      <c r="A85" s="5" t="s">
        <v>210</v>
      </c>
      <c r="B85" s="6">
        <v>46164</v>
      </c>
      <c r="C85" s="5" t="s">
        <v>101</v>
      </c>
      <c r="D85" s="5">
        <v>692675.02500000002</v>
      </c>
      <c r="E85" s="5">
        <v>6397467.5180000002</v>
      </c>
      <c r="F85" s="5">
        <v>2</v>
      </c>
      <c r="G85" s="5">
        <v>280.30484008789102</v>
      </c>
      <c r="H85" s="5">
        <v>1246</v>
      </c>
      <c r="I85" s="5">
        <v>7</v>
      </c>
      <c r="J85" s="5">
        <v>22</v>
      </c>
      <c r="K85" s="5" t="s">
        <v>118</v>
      </c>
      <c r="L85" s="5">
        <v>5</v>
      </c>
      <c r="M85" s="5">
        <v>4</v>
      </c>
      <c r="N85" s="5">
        <v>2</v>
      </c>
      <c r="O85" s="5">
        <v>1</v>
      </c>
      <c r="P85" s="5">
        <v>0</v>
      </c>
      <c r="Q85" s="5">
        <v>0</v>
      </c>
      <c r="R85" s="5">
        <v>1</v>
      </c>
      <c r="S85" s="5">
        <v>0</v>
      </c>
      <c r="T85" s="5">
        <v>0</v>
      </c>
      <c r="U85" s="5" t="s">
        <v>103</v>
      </c>
      <c r="V85" s="5" t="s">
        <v>104</v>
      </c>
      <c r="W85" s="5" t="s">
        <v>105</v>
      </c>
      <c r="X85" s="5" t="s">
        <v>106</v>
      </c>
      <c r="Y85" s="5" t="s">
        <v>106</v>
      </c>
      <c r="Z85" s="5" t="str">
        <f>IF(ISNUMBER(MATCH(A85, TABLEAU_Floristique!B$1:DC$1, 0)), "OUI","NON")</f>
        <v>OUI</v>
      </c>
      <c r="AB85">
        <v>0.97719999999999996</v>
      </c>
      <c r="AC85">
        <v>0.92476000000000003</v>
      </c>
      <c r="AD85">
        <v>3.1419343365235712E-2</v>
      </c>
      <c r="AE85">
        <v>9.0641428016363199E-2</v>
      </c>
      <c r="AF85" s="5">
        <v>186.027977950912</v>
      </c>
      <c r="AG85" s="5">
        <v>422.00844464205397</v>
      </c>
      <c r="AH85" s="5">
        <v>7196.3684924761001</v>
      </c>
      <c r="AI85" s="5">
        <v>422.92221453751398</v>
      </c>
      <c r="AJ85" s="5">
        <v>0.71687000000000001</v>
      </c>
      <c r="AK85" s="5">
        <v>429.32990572402298</v>
      </c>
      <c r="AL85" s="5"/>
      <c r="AM85" s="5">
        <v>526.37080000000003</v>
      </c>
      <c r="AN85" s="5">
        <v>768</v>
      </c>
      <c r="AO85" s="5">
        <v>0</v>
      </c>
      <c r="AP85" s="5">
        <v>144</v>
      </c>
      <c r="AQ85" s="5">
        <v>2729</v>
      </c>
      <c r="AR85" s="5">
        <v>630</v>
      </c>
      <c r="AS85" s="5">
        <v>64</v>
      </c>
      <c r="AT85" s="5">
        <v>-5</v>
      </c>
      <c r="AU85" s="5">
        <v>28</v>
      </c>
      <c r="AV85" s="5">
        <v>0.31303999999999998</v>
      </c>
      <c r="AW85" s="5">
        <v>0.15651999999999999</v>
      </c>
      <c r="AX85" s="5">
        <v>0.42259999999999998</v>
      </c>
      <c r="AY85" t="s">
        <v>112</v>
      </c>
      <c r="AZ85" t="s">
        <v>1429</v>
      </c>
      <c r="BA85">
        <v>69.451361907461376</v>
      </c>
    </row>
    <row r="86" spans="1:53" x14ac:dyDescent="0.25">
      <c r="A86" s="5" t="s">
        <v>211</v>
      </c>
      <c r="B86" s="6">
        <v>46164</v>
      </c>
      <c r="C86" s="5" t="s">
        <v>101</v>
      </c>
      <c r="D86" s="5">
        <v>692095.04500000004</v>
      </c>
      <c r="E86" s="5">
        <v>6398242.9249999998</v>
      </c>
      <c r="F86" s="5">
        <v>2</v>
      </c>
      <c r="G86" s="5">
        <v>50.710594177246101</v>
      </c>
      <c r="H86" s="5">
        <v>1215</v>
      </c>
      <c r="I86" s="5">
        <v>6</v>
      </c>
      <c r="J86" s="5">
        <v>17</v>
      </c>
      <c r="K86" s="5" t="s">
        <v>115</v>
      </c>
      <c r="L86" s="5">
        <v>5</v>
      </c>
      <c r="M86" s="5">
        <v>4</v>
      </c>
      <c r="N86" s="5">
        <v>2</v>
      </c>
      <c r="O86" s="5">
        <v>0</v>
      </c>
      <c r="P86" s="5">
        <v>0</v>
      </c>
      <c r="Q86" s="5">
        <v>0</v>
      </c>
      <c r="R86" s="5">
        <v>1</v>
      </c>
      <c r="S86" s="5">
        <v>0</v>
      </c>
      <c r="T86" s="5">
        <v>0</v>
      </c>
      <c r="U86" s="5" t="s">
        <v>103</v>
      </c>
      <c r="V86" s="5" t="s">
        <v>104</v>
      </c>
      <c r="W86" s="5" t="s">
        <v>105</v>
      </c>
      <c r="X86" s="5" t="s">
        <v>106</v>
      </c>
      <c r="Y86" s="5" t="s">
        <v>106</v>
      </c>
      <c r="Z86" s="5" t="str">
        <f>IF(ISNUMBER(MATCH(A86, TABLEAU_Floristique!B$1:DC$1, 0)), "OUI","NON")</f>
        <v>OUI</v>
      </c>
      <c r="AB86">
        <v>0.90827000000000002</v>
      </c>
      <c r="AC86">
        <v>0.72309000000000001</v>
      </c>
      <c r="AD86">
        <v>8.575060277534817E-2</v>
      </c>
      <c r="AE86">
        <v>0.30177245128559299</v>
      </c>
      <c r="AF86" s="5">
        <v>531.49476446153596</v>
      </c>
      <c r="AG86" s="5">
        <v>453.837936547563</v>
      </c>
      <c r="AH86" s="5">
        <v>8094.2178938976504</v>
      </c>
      <c r="AI86" s="5">
        <v>453.96120906677601</v>
      </c>
      <c r="AJ86" s="5">
        <v>0.50788999999999995</v>
      </c>
      <c r="AK86" s="5">
        <v>637.302557385505</v>
      </c>
      <c r="AL86" s="5"/>
      <c r="AM86" s="5"/>
      <c r="AN86" s="5">
        <v>767</v>
      </c>
      <c r="AO86" s="5">
        <v>0</v>
      </c>
      <c r="AP86" s="5">
        <v>154</v>
      </c>
      <c r="AQ86" s="5">
        <v>2755</v>
      </c>
      <c r="AR86" s="5">
        <v>670</v>
      </c>
      <c r="AS86" s="5">
        <v>63</v>
      </c>
      <c r="AT86" s="5">
        <v>-2</v>
      </c>
      <c r="AU86" s="5">
        <v>29</v>
      </c>
      <c r="AV86" s="5">
        <v>0.31303999999999998</v>
      </c>
      <c r="AW86" s="5">
        <v>0.15651999999999999</v>
      </c>
      <c r="AX86" s="5">
        <v>0.42259999999999998</v>
      </c>
      <c r="AY86" t="s">
        <v>112</v>
      </c>
      <c r="AZ86" t="s">
        <v>1429</v>
      </c>
      <c r="BA86">
        <v>144.86753483784869</v>
      </c>
    </row>
    <row r="87" spans="1:53" x14ac:dyDescent="0.25">
      <c r="A87" s="5" t="s">
        <v>212</v>
      </c>
      <c r="B87" s="6">
        <v>46120</v>
      </c>
      <c r="C87" s="5" t="s">
        <v>101</v>
      </c>
      <c r="D87" s="5">
        <v>693784.16700000002</v>
      </c>
      <c r="E87" s="5">
        <v>6390522.2520000003</v>
      </c>
      <c r="F87" s="5">
        <v>4</v>
      </c>
      <c r="G87" s="5">
        <v>290.85446166992199</v>
      </c>
      <c r="H87" s="5">
        <v>1033</v>
      </c>
      <c r="I87" s="5">
        <v>5</v>
      </c>
      <c r="K87" s="5" t="s">
        <v>102</v>
      </c>
      <c r="L87" s="5">
        <v>5</v>
      </c>
      <c r="M87" s="5">
        <v>3</v>
      </c>
      <c r="N87" s="5">
        <v>2</v>
      </c>
      <c r="O87" s="5">
        <v>1</v>
      </c>
      <c r="P87" s="5">
        <v>0</v>
      </c>
      <c r="Q87" s="5">
        <v>0</v>
      </c>
      <c r="R87" s="5">
        <v>1</v>
      </c>
      <c r="S87" s="5">
        <v>0</v>
      </c>
      <c r="T87" s="5">
        <v>0</v>
      </c>
      <c r="U87" s="5" t="s">
        <v>103</v>
      </c>
      <c r="V87" s="5" t="s">
        <v>104</v>
      </c>
      <c r="W87" s="5" t="s">
        <v>105</v>
      </c>
      <c r="X87" s="5" t="s">
        <v>106</v>
      </c>
      <c r="Y87" s="5" t="s">
        <v>106</v>
      </c>
      <c r="Z87" s="5" t="str">
        <f>IF(ISNUMBER(MATCH(A87, TABLEAU_Floristique!B$1:DC$1, 0)), "OUI","NON")</f>
        <v>OUI</v>
      </c>
      <c r="AA87" s="7" t="s">
        <v>213</v>
      </c>
      <c r="AB87">
        <v>0.41887999999999997</v>
      </c>
      <c r="AC87">
        <v>0.43558999999999998</v>
      </c>
      <c r="AD87">
        <v>0.56635674677569903</v>
      </c>
      <c r="AE87">
        <v>0.56533116361540336</v>
      </c>
      <c r="AF87" s="5">
        <v>1077.9956395061899</v>
      </c>
      <c r="AG87" s="5">
        <v>173.240051353658</v>
      </c>
      <c r="AH87" s="5">
        <v>2288.7567981357502</v>
      </c>
      <c r="AI87" s="5">
        <v>144.07842653529499</v>
      </c>
      <c r="AJ87" s="5">
        <v>0.10439</v>
      </c>
      <c r="AK87" s="5">
        <v>183.86373593764401</v>
      </c>
      <c r="AL87" s="5">
        <v>209.45401000000001</v>
      </c>
      <c r="AM87" s="5">
        <v>1420.34961</v>
      </c>
      <c r="AN87" s="5">
        <v>730</v>
      </c>
      <c r="AO87" s="5">
        <v>0</v>
      </c>
      <c r="AP87" s="5">
        <v>181</v>
      </c>
      <c r="AQ87" s="5">
        <v>2724</v>
      </c>
      <c r="AR87" s="5">
        <v>728</v>
      </c>
      <c r="AS87" s="5">
        <v>73</v>
      </c>
      <c r="AT87" s="5">
        <v>0</v>
      </c>
      <c r="AU87" s="5">
        <v>35</v>
      </c>
      <c r="AV87" s="5">
        <v>0.12987000000000001</v>
      </c>
      <c r="AW87" s="5">
        <v>1</v>
      </c>
      <c r="AX87" s="5">
        <v>3.3376600000000001</v>
      </c>
      <c r="AY87" t="s">
        <v>112</v>
      </c>
      <c r="AZ87" t="s">
        <v>1428</v>
      </c>
      <c r="BA87">
        <v>69.480358325428</v>
      </c>
    </row>
    <row r="88" spans="1:53" x14ac:dyDescent="0.25">
      <c r="A88" s="5" t="s">
        <v>214</v>
      </c>
      <c r="B88" s="6">
        <v>46172</v>
      </c>
      <c r="C88" s="5" t="s">
        <v>204</v>
      </c>
      <c r="D88" s="5">
        <v>694111.82299999997</v>
      </c>
      <c r="E88" s="5">
        <v>6399408.7620000001</v>
      </c>
      <c r="F88" s="5">
        <v>1</v>
      </c>
      <c r="G88" s="5">
        <v>0</v>
      </c>
      <c r="H88" s="5">
        <v>1314</v>
      </c>
      <c r="I88" s="5">
        <v>8</v>
      </c>
      <c r="K88" s="5" t="s">
        <v>118</v>
      </c>
      <c r="L88" s="5">
        <v>4</v>
      </c>
      <c r="M88" s="5">
        <v>3</v>
      </c>
      <c r="N88" s="5">
        <v>2</v>
      </c>
      <c r="O88" s="5">
        <v>1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 t="s">
        <v>103</v>
      </c>
      <c r="V88" s="5" t="s">
        <v>104</v>
      </c>
      <c r="W88" s="5" t="s">
        <v>105</v>
      </c>
      <c r="X88" s="5" t="s">
        <v>106</v>
      </c>
      <c r="Y88" s="5" t="s">
        <v>106</v>
      </c>
      <c r="Z88" s="5" t="str">
        <f>IF(ISNUMBER(MATCH(A88, TABLEAU_Floristique!B$1:DC$1, 0)), "OUI","NON")</f>
        <v>OUI</v>
      </c>
      <c r="AB88">
        <v>0.92935999999999996</v>
      </c>
      <c r="AC88">
        <v>0.69999</v>
      </c>
      <c r="AD88">
        <v>8.6116940176563295E-2</v>
      </c>
      <c r="AE88">
        <v>0.32108391375216372</v>
      </c>
      <c r="AF88" s="5">
        <v>1148.2993738551299</v>
      </c>
      <c r="AG88" s="5">
        <v>186.51642595777599</v>
      </c>
      <c r="AH88" s="5">
        <v>7267.0414904485497</v>
      </c>
      <c r="AI88" s="5">
        <v>729.18028495909596</v>
      </c>
      <c r="AJ88" s="5">
        <v>0.66161999999999999</v>
      </c>
      <c r="AK88" s="5">
        <v>561.595955267563</v>
      </c>
      <c r="AL88" s="5"/>
      <c r="AM88" s="5"/>
      <c r="AN88" s="5">
        <v>768</v>
      </c>
      <c r="AO88" s="5">
        <v>0</v>
      </c>
      <c r="AP88" s="5">
        <v>135</v>
      </c>
      <c r="AQ88" s="5">
        <v>2700</v>
      </c>
      <c r="AR88" s="5">
        <v>934</v>
      </c>
      <c r="AS88" s="5">
        <v>56</v>
      </c>
      <c r="AT88" s="5">
        <v>-2</v>
      </c>
      <c r="AU88" s="5">
        <v>25</v>
      </c>
      <c r="AV88" s="5">
        <v>0.31303999999999998</v>
      </c>
      <c r="AW88" s="5">
        <v>0.15651999999999999</v>
      </c>
      <c r="AX88" s="5">
        <v>0.42259999999999998</v>
      </c>
      <c r="AY88" t="s">
        <v>112</v>
      </c>
      <c r="AZ88" t="s">
        <v>1429</v>
      </c>
      <c r="BA88">
        <v>181.50823906990419</v>
      </c>
    </row>
    <row r="89" spans="1:53" x14ac:dyDescent="0.25">
      <c r="A89" s="5" t="s">
        <v>215</v>
      </c>
      <c r="C89" s="5" t="s">
        <v>180</v>
      </c>
      <c r="D89" s="5">
        <v>694511.03500000003</v>
      </c>
      <c r="E89" s="5">
        <v>6399033.3770000003</v>
      </c>
      <c r="F89" s="5">
        <v>1</v>
      </c>
      <c r="G89" s="5">
        <v>288.43493652343801</v>
      </c>
      <c r="H89" s="5">
        <v>1326</v>
      </c>
      <c r="I89" s="5">
        <v>8</v>
      </c>
      <c r="K89" s="5" t="s">
        <v>109</v>
      </c>
      <c r="L89" s="5">
        <v>4</v>
      </c>
      <c r="M89" s="5" t="s">
        <v>126</v>
      </c>
      <c r="N89" s="5">
        <v>3</v>
      </c>
      <c r="O89" s="5">
        <v>1</v>
      </c>
      <c r="P89" s="5">
        <v>0</v>
      </c>
      <c r="Q89" s="5">
        <v>0</v>
      </c>
      <c r="R89" s="5">
        <v>1</v>
      </c>
      <c r="S89" s="5">
        <v>0</v>
      </c>
      <c r="T89" s="5">
        <v>0</v>
      </c>
      <c r="U89" s="5" t="s">
        <v>103</v>
      </c>
      <c r="V89" s="5" t="s">
        <v>104</v>
      </c>
      <c r="W89" s="5" t="s">
        <v>105</v>
      </c>
      <c r="X89" s="5" t="s">
        <v>106</v>
      </c>
      <c r="Y89" s="5" t="s">
        <v>106</v>
      </c>
      <c r="Z89" s="5" t="str">
        <f>IF(ISNUMBER(MATCH(A89, TABLEAU_Floristique!B$1:DC$1, 0)), "OUI","NON")</f>
        <v>OUI</v>
      </c>
      <c r="AB89">
        <v>0.81976000000000004</v>
      </c>
      <c r="AC89">
        <v>0.58372999999999997</v>
      </c>
      <c r="AD89">
        <v>0.24313713932011491</v>
      </c>
      <c r="AE89">
        <v>0.44317571710836662</v>
      </c>
      <c r="AF89" s="5">
        <v>614.47027070983802</v>
      </c>
      <c r="AG89" s="5">
        <v>175.561849087627</v>
      </c>
      <c r="AH89" s="5">
        <v>6719.3141746792999</v>
      </c>
      <c r="AI89" s="5">
        <v>525.33279447668099</v>
      </c>
      <c r="AJ89" s="5">
        <v>0.49775999999999998</v>
      </c>
      <c r="AK89" s="5">
        <v>650.578197417007</v>
      </c>
      <c r="AL89" s="5"/>
      <c r="AM89" s="5"/>
      <c r="AN89" s="5">
        <v>760</v>
      </c>
      <c r="AO89" s="5">
        <v>0</v>
      </c>
      <c r="AP89" s="5">
        <v>134</v>
      </c>
      <c r="AQ89" s="5">
        <v>2700</v>
      </c>
      <c r="AR89" s="5">
        <v>939</v>
      </c>
      <c r="AS89" s="5">
        <v>55</v>
      </c>
      <c r="AT89" s="5">
        <v>-2</v>
      </c>
      <c r="AU89" s="5">
        <v>24</v>
      </c>
      <c r="AV89" s="5">
        <v>0.31303999999999998</v>
      </c>
      <c r="AW89" s="5">
        <v>0.15651999999999999</v>
      </c>
      <c r="AX89" s="5">
        <v>0.42259999999999998</v>
      </c>
      <c r="AY89" t="s">
        <v>112</v>
      </c>
      <c r="AZ89" t="s">
        <v>1429</v>
      </c>
      <c r="BA89">
        <v>117.05259909082341</v>
      </c>
    </row>
    <row r="90" spans="1:53" x14ac:dyDescent="0.25">
      <c r="A90" s="5" t="s">
        <v>216</v>
      </c>
      <c r="B90" s="6">
        <v>46196</v>
      </c>
      <c r="C90" s="5" t="s">
        <v>101</v>
      </c>
      <c r="D90" s="5">
        <v>692803.66599999997</v>
      </c>
      <c r="E90" s="5">
        <v>6399713.5060000001</v>
      </c>
      <c r="F90" s="5">
        <v>1</v>
      </c>
      <c r="G90" s="5">
        <v>255.06858825683599</v>
      </c>
      <c r="H90" s="5">
        <v>1264</v>
      </c>
      <c r="I90" s="5">
        <v>7</v>
      </c>
      <c r="J90" s="5">
        <v>22</v>
      </c>
      <c r="K90" s="5" t="s">
        <v>115</v>
      </c>
      <c r="L90" s="5">
        <v>5</v>
      </c>
      <c r="M90" s="5">
        <v>4</v>
      </c>
      <c r="N90" s="5">
        <v>1</v>
      </c>
      <c r="O90" s="5">
        <v>1</v>
      </c>
      <c r="P90" s="5">
        <v>0</v>
      </c>
      <c r="Q90" s="5">
        <v>0</v>
      </c>
      <c r="R90" s="5">
        <v>1</v>
      </c>
      <c r="S90" s="5">
        <v>0</v>
      </c>
      <c r="T90" s="5">
        <v>0</v>
      </c>
      <c r="U90" s="5" t="s">
        <v>170</v>
      </c>
      <c r="V90" s="5" t="s">
        <v>104</v>
      </c>
      <c r="W90" s="5" t="s">
        <v>103</v>
      </c>
      <c r="X90" s="5" t="s">
        <v>106</v>
      </c>
      <c r="Y90" s="5" t="s">
        <v>106</v>
      </c>
      <c r="Z90" s="5" t="str">
        <f>IF(ISNUMBER(MATCH(A90, TABLEAU_Floristique!B$1:DC$1, 0)), "OUI","NON")</f>
        <v>OUI</v>
      </c>
      <c r="AA90" s="7" t="s">
        <v>217</v>
      </c>
      <c r="AB90">
        <v>0.99855000000000005</v>
      </c>
      <c r="AC90">
        <v>0.69774000000000003</v>
      </c>
      <c r="AD90">
        <v>7.03367165126685E-6</v>
      </c>
      <c r="AE90">
        <v>0.29080156643362393</v>
      </c>
      <c r="AF90" s="5">
        <v>1737.9433846916199</v>
      </c>
      <c r="AG90" s="5">
        <v>503.16027068123498</v>
      </c>
      <c r="AH90" s="5">
        <v>8436.9141484466199</v>
      </c>
      <c r="AI90" s="5">
        <v>330.950055320155</v>
      </c>
      <c r="AJ90" s="5">
        <v>0.60675000000000001</v>
      </c>
      <c r="AK90" s="5">
        <v>456.14124171354302</v>
      </c>
      <c r="AL90" s="5"/>
      <c r="AM90" s="5">
        <v>433.53370000000001</v>
      </c>
      <c r="AN90" s="5">
        <v>770</v>
      </c>
      <c r="AO90" s="5">
        <v>0</v>
      </c>
      <c r="AP90" s="5">
        <v>142</v>
      </c>
      <c r="AQ90" s="5">
        <v>2728</v>
      </c>
      <c r="AR90" s="5">
        <v>774</v>
      </c>
      <c r="AS90" s="5">
        <v>56</v>
      </c>
      <c r="AT90" s="5">
        <v>0</v>
      </c>
      <c r="AU90" s="5">
        <v>26</v>
      </c>
      <c r="AV90" s="5">
        <v>0.31303999999999998</v>
      </c>
      <c r="AW90" s="5">
        <v>0.15651999999999999</v>
      </c>
      <c r="AX90" s="5">
        <v>0.42259999999999998</v>
      </c>
      <c r="AY90" t="s">
        <v>112</v>
      </c>
      <c r="AZ90" t="s">
        <v>1429</v>
      </c>
      <c r="BA90">
        <v>246.5701839069211</v>
      </c>
    </row>
    <row r="91" spans="1:53" x14ac:dyDescent="0.25">
      <c r="A91" s="5" t="s">
        <v>218</v>
      </c>
      <c r="C91" s="5" t="s">
        <v>180</v>
      </c>
      <c r="D91" s="5">
        <v>699669.86179999996</v>
      </c>
      <c r="E91" s="5">
        <v>6387632.2539999997</v>
      </c>
      <c r="F91" s="5">
        <v>5</v>
      </c>
      <c r="G91" s="5">
        <v>226.73570251464801</v>
      </c>
      <c r="H91" s="5">
        <v>1180</v>
      </c>
      <c r="I91" s="5">
        <v>2</v>
      </c>
      <c r="K91" s="5" t="s">
        <v>115</v>
      </c>
      <c r="L91" s="5">
        <v>4</v>
      </c>
      <c r="M91" s="5">
        <v>1</v>
      </c>
      <c r="N91" s="5">
        <v>3</v>
      </c>
      <c r="O91" s="5">
        <v>2</v>
      </c>
      <c r="P91" s="5">
        <v>0</v>
      </c>
      <c r="Q91" s="5">
        <v>0</v>
      </c>
      <c r="R91" s="5">
        <v>2</v>
      </c>
      <c r="S91" s="5">
        <v>0</v>
      </c>
      <c r="T91" s="5">
        <v>0</v>
      </c>
      <c r="U91" s="5" t="s">
        <v>103</v>
      </c>
      <c r="V91" s="5" t="s">
        <v>104</v>
      </c>
      <c r="W91" s="5" t="s">
        <v>105</v>
      </c>
      <c r="X91" s="5" t="s">
        <v>106</v>
      </c>
      <c r="Y91" s="5" t="s">
        <v>106</v>
      </c>
      <c r="Z91" s="5" t="str">
        <f>IF(ISNUMBER(MATCH(A91, TABLEAU_Floristique!B$1:DC$1, 0)), "OUI","NON")</f>
        <v>OUI</v>
      </c>
      <c r="AB91">
        <v>0.99887000000000004</v>
      </c>
      <c r="AC91">
        <v>0.98726999999999998</v>
      </c>
      <c r="AE91">
        <v>8.0298554066060689E-3</v>
      </c>
      <c r="AF91" s="5">
        <v>227.46074477851499</v>
      </c>
      <c r="AG91" s="5">
        <v>67.708152581321897</v>
      </c>
      <c r="AH91" s="5">
        <v>3551.4993019806702</v>
      </c>
      <c r="AI91" s="5">
        <v>235.24834718802299</v>
      </c>
      <c r="AJ91" s="5">
        <v>0.99426000000000003</v>
      </c>
      <c r="AK91" s="5">
        <v>1391.89825463483</v>
      </c>
      <c r="AL91" s="5"/>
      <c r="AM91" s="5"/>
      <c r="AN91" s="5">
        <v>712</v>
      </c>
      <c r="AO91" s="5">
        <v>0</v>
      </c>
      <c r="AP91" s="5">
        <v>160</v>
      </c>
      <c r="AQ91" s="5">
        <v>2616</v>
      </c>
      <c r="AR91" s="5">
        <v>531</v>
      </c>
      <c r="AS91" s="5">
        <v>61</v>
      </c>
      <c r="AT91" s="5">
        <v>-6</v>
      </c>
      <c r="AU91" s="5">
        <v>29</v>
      </c>
      <c r="AV91" s="5">
        <v>0.12987000000000001</v>
      </c>
      <c r="AW91" s="5">
        <v>1</v>
      </c>
      <c r="AX91" s="5">
        <v>3.3376600000000001</v>
      </c>
      <c r="AY91" t="s">
        <v>112</v>
      </c>
      <c r="AZ91" t="s">
        <v>1429</v>
      </c>
      <c r="BA91">
        <v>400.72365811796863</v>
      </c>
    </row>
    <row r="92" spans="1:53" x14ac:dyDescent="0.25">
      <c r="A92" s="5" t="s">
        <v>219</v>
      </c>
      <c r="C92" s="5" t="s">
        <v>180</v>
      </c>
      <c r="D92" s="5">
        <v>701371.19400000002</v>
      </c>
      <c r="E92" s="5">
        <v>6387730.9390000002</v>
      </c>
      <c r="F92" s="5">
        <v>2</v>
      </c>
      <c r="G92" s="5">
        <v>204.14553833007801</v>
      </c>
      <c r="H92" s="5">
        <v>1322</v>
      </c>
      <c r="I92" s="5">
        <v>7</v>
      </c>
      <c r="K92" s="5" t="s">
        <v>109</v>
      </c>
      <c r="L92" s="5">
        <v>4</v>
      </c>
      <c r="M92" s="5">
        <v>3</v>
      </c>
      <c r="N92" s="5">
        <v>3</v>
      </c>
      <c r="O92" s="5">
        <v>1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 t="s">
        <v>103</v>
      </c>
      <c r="V92" s="5" t="s">
        <v>104</v>
      </c>
      <c r="W92" s="5" t="s">
        <v>105</v>
      </c>
      <c r="X92" s="5" t="s">
        <v>106</v>
      </c>
      <c r="Y92" s="5" t="s">
        <v>106</v>
      </c>
      <c r="Z92" s="5" t="str">
        <f>IF(ISNUMBER(MATCH(A92, TABLEAU_Floristique!B$1:DC$1, 0)), "OUI","NON")</f>
        <v>OUI</v>
      </c>
      <c r="AB92">
        <v>0.97729999999999995</v>
      </c>
      <c r="AC92">
        <v>0.93354999999999999</v>
      </c>
      <c r="AD92">
        <v>4.2998994013443408E-3</v>
      </c>
      <c r="AE92">
        <v>4.1510978827310793E-2</v>
      </c>
      <c r="AF92" s="5">
        <v>98.404380781340194</v>
      </c>
      <c r="AG92" s="5">
        <v>235.489693951334</v>
      </c>
      <c r="AH92" s="5">
        <v>4431.9619910493702</v>
      </c>
      <c r="AI92" s="5">
        <v>530.92674292740105</v>
      </c>
      <c r="AJ92" s="5">
        <v>0.81803000000000003</v>
      </c>
      <c r="AK92" s="5">
        <v>220.723644309142</v>
      </c>
      <c r="AL92" s="5">
        <v>484.87304999999998</v>
      </c>
      <c r="AM92" s="5">
        <v>3543.8101200000001</v>
      </c>
      <c r="AN92" s="5">
        <v>716</v>
      </c>
      <c r="AO92" s="5">
        <v>0</v>
      </c>
      <c r="AP92" s="5">
        <v>142</v>
      </c>
      <c r="AQ92" s="5">
        <v>2587</v>
      </c>
      <c r="AR92" s="5">
        <v>729</v>
      </c>
      <c r="AS92" s="5">
        <v>55</v>
      </c>
      <c r="AT92" s="5">
        <v>-2</v>
      </c>
      <c r="AU92" s="5">
        <v>25</v>
      </c>
      <c r="AV92" s="5">
        <v>0.64295000000000002</v>
      </c>
      <c r="AW92" s="5">
        <v>0.81440000000000001</v>
      </c>
      <c r="AX92" s="5">
        <v>2.2074600000000002</v>
      </c>
      <c r="AY92" t="s">
        <v>112</v>
      </c>
      <c r="AZ92" t="s">
        <v>1429</v>
      </c>
      <c r="BA92">
        <v>216.8454024350898</v>
      </c>
    </row>
    <row r="93" spans="1:53" x14ac:dyDescent="0.25">
      <c r="A93" s="5" t="s">
        <v>220</v>
      </c>
      <c r="B93" s="5"/>
      <c r="C93" s="5" t="s">
        <v>180</v>
      </c>
      <c r="D93" s="5">
        <v>701574.28040000005</v>
      </c>
      <c r="E93" s="5">
        <v>6387507.0329999998</v>
      </c>
      <c r="F93" s="5">
        <v>1</v>
      </c>
      <c r="G93" s="5">
        <v>213.69006347656301</v>
      </c>
      <c r="H93" s="5">
        <v>1286</v>
      </c>
      <c r="I93" s="5">
        <v>5</v>
      </c>
      <c r="K93" s="5" t="s">
        <v>115</v>
      </c>
      <c r="L93" s="5">
        <v>5</v>
      </c>
      <c r="M93" s="5">
        <v>2</v>
      </c>
      <c r="N93" s="5">
        <v>4</v>
      </c>
      <c r="O93" s="5">
        <v>0</v>
      </c>
      <c r="P93" s="5">
        <v>0</v>
      </c>
      <c r="Q93" s="5">
        <v>0</v>
      </c>
      <c r="R93" s="5">
        <v>1</v>
      </c>
      <c r="S93" s="5">
        <v>0</v>
      </c>
      <c r="T93" s="5">
        <v>0</v>
      </c>
      <c r="U93" s="5" t="s">
        <v>103</v>
      </c>
      <c r="V93" s="5" t="s">
        <v>104</v>
      </c>
      <c r="W93" s="5" t="s">
        <v>105</v>
      </c>
      <c r="X93" s="5" t="s">
        <v>106</v>
      </c>
      <c r="Y93" s="5" t="s">
        <v>106</v>
      </c>
      <c r="Z93" s="5" t="str">
        <f>IF(ISNUMBER(MATCH(A93, TABLEAU_Floristique!B$1:DC$1, 0)), "OUI","NON")</f>
        <v>OUI</v>
      </c>
      <c r="AB93">
        <v>0.89580000000000004</v>
      </c>
      <c r="AC93">
        <v>0.89546999999999999</v>
      </c>
      <c r="AD93">
        <v>3.9930080315490363E-2</v>
      </c>
      <c r="AE93">
        <v>6.6508121074686941E-2</v>
      </c>
      <c r="AF93" s="5">
        <v>28.741846029439898</v>
      </c>
      <c r="AG93" s="5">
        <v>121.17947846375201</v>
      </c>
      <c r="AH93" s="5">
        <v>4730.8559395300199</v>
      </c>
      <c r="AI93" s="5">
        <v>401.17311893007297</v>
      </c>
      <c r="AJ93" s="5">
        <v>0.77393000000000001</v>
      </c>
      <c r="AK93" s="5">
        <v>101.844242808147</v>
      </c>
      <c r="AL93" s="5">
        <v>2757.6737600000001</v>
      </c>
      <c r="AM93" s="5">
        <v>6023.8497200000002</v>
      </c>
      <c r="AN93" s="5">
        <v>715</v>
      </c>
      <c r="AO93" s="5">
        <v>0</v>
      </c>
      <c r="AP93" s="5">
        <v>144</v>
      </c>
      <c r="AQ93" s="5">
        <v>2587</v>
      </c>
      <c r="AR93" s="5">
        <v>789</v>
      </c>
      <c r="AS93" s="5">
        <v>58</v>
      </c>
      <c r="AT93" s="5">
        <v>-3</v>
      </c>
      <c r="AU93" s="5">
        <v>26</v>
      </c>
      <c r="AV93" s="5">
        <v>0.64295000000000002</v>
      </c>
      <c r="AW93" s="5">
        <v>0.81440000000000001</v>
      </c>
      <c r="AX93" s="5">
        <v>2.2074600000000002</v>
      </c>
      <c r="AY93" t="s">
        <v>112</v>
      </c>
      <c r="AZ93" t="s">
        <v>1429</v>
      </c>
      <c r="BA93">
        <v>103.4910839114537</v>
      </c>
    </row>
    <row r="94" spans="1:53" x14ac:dyDescent="0.25">
      <c r="A94" s="5" t="s">
        <v>221</v>
      </c>
      <c r="C94" s="5" t="s">
        <v>180</v>
      </c>
      <c r="D94" s="5">
        <v>700231.3175</v>
      </c>
      <c r="E94" s="5">
        <v>6387457.6310000001</v>
      </c>
      <c r="F94" s="5">
        <v>5</v>
      </c>
      <c r="G94" s="5">
        <v>207.07208251953099</v>
      </c>
      <c r="H94" s="5">
        <v>1155</v>
      </c>
      <c r="I94" s="5">
        <v>7</v>
      </c>
      <c r="K94" s="5" t="s">
        <v>115</v>
      </c>
      <c r="L94" s="5">
        <v>4</v>
      </c>
      <c r="M94" s="5">
        <v>1</v>
      </c>
      <c r="N94" s="5">
        <v>2</v>
      </c>
      <c r="O94" s="5">
        <v>6</v>
      </c>
      <c r="P94" s="5">
        <v>0</v>
      </c>
      <c r="Q94" s="5">
        <v>0</v>
      </c>
      <c r="R94" s="5">
        <v>2</v>
      </c>
      <c r="S94" s="5">
        <v>0</v>
      </c>
      <c r="T94" s="5">
        <v>0</v>
      </c>
      <c r="U94" s="5" t="s">
        <v>103</v>
      </c>
      <c r="V94" s="5" t="s">
        <v>104</v>
      </c>
      <c r="W94" s="5" t="s">
        <v>105</v>
      </c>
      <c r="X94" s="5" t="s">
        <v>106</v>
      </c>
      <c r="Y94" s="5" t="s">
        <v>106</v>
      </c>
      <c r="Z94" s="5" t="str">
        <f>IF(ISNUMBER(MATCH(A94, TABLEAU_Floristique!B$1:DC$1, 0)), "OUI","NON")</f>
        <v>OUI</v>
      </c>
      <c r="AB94">
        <v>0.98480999999999996</v>
      </c>
      <c r="AC94">
        <v>0.97245999999999999</v>
      </c>
      <c r="AE94">
        <v>2.6276487965225591E-3</v>
      </c>
      <c r="AF94" s="5">
        <v>43.752890775213501</v>
      </c>
      <c r="AG94" s="5">
        <v>108.14973953400801</v>
      </c>
      <c r="AH94" s="5">
        <v>4080.71085228942</v>
      </c>
      <c r="AI94" s="5">
        <v>157.23391245753101</v>
      </c>
      <c r="AJ94" s="5">
        <v>1</v>
      </c>
      <c r="AK94" s="5">
        <v>811.55653614969799</v>
      </c>
      <c r="AL94" s="5"/>
      <c r="AM94" s="5"/>
      <c r="AN94" s="5">
        <v>716</v>
      </c>
      <c r="AO94" s="5">
        <v>0</v>
      </c>
      <c r="AP94" s="5">
        <v>150</v>
      </c>
      <c r="AQ94" s="5">
        <v>2616</v>
      </c>
      <c r="AR94" s="5">
        <v>577</v>
      </c>
      <c r="AS94" s="5">
        <v>67</v>
      </c>
      <c r="AT94" s="5">
        <v>-8</v>
      </c>
      <c r="AU94" s="5">
        <v>29</v>
      </c>
      <c r="AV94" s="5">
        <v>0.12987000000000001</v>
      </c>
      <c r="AW94" s="5">
        <v>1</v>
      </c>
      <c r="AX94" s="5">
        <v>3.3376600000000001</v>
      </c>
      <c r="AY94" t="s">
        <v>112</v>
      </c>
      <c r="AZ94" t="s">
        <v>1429</v>
      </c>
      <c r="BA94">
        <v>452.55136610907971</v>
      </c>
    </row>
    <row r="95" spans="1:53" x14ac:dyDescent="0.25">
      <c r="A95" s="5" t="s">
        <v>222</v>
      </c>
      <c r="B95" s="5"/>
      <c r="C95" s="5" t="s">
        <v>180</v>
      </c>
      <c r="D95" s="5">
        <v>699331.51969999995</v>
      </c>
      <c r="E95" s="5">
        <v>6388115.9249999998</v>
      </c>
      <c r="F95" s="5">
        <v>1</v>
      </c>
      <c r="G95" s="5">
        <v>233.42697143554699</v>
      </c>
      <c r="H95" s="5">
        <v>1235</v>
      </c>
      <c r="I95" s="5">
        <v>5</v>
      </c>
      <c r="K95" s="5" t="s">
        <v>115</v>
      </c>
      <c r="L95" s="5">
        <v>4</v>
      </c>
      <c r="M95" s="5" t="s">
        <v>126</v>
      </c>
      <c r="N95" s="5">
        <v>1</v>
      </c>
      <c r="O95" s="5">
        <v>0</v>
      </c>
      <c r="P95" s="5">
        <v>0</v>
      </c>
      <c r="Q95" s="5">
        <v>0</v>
      </c>
      <c r="R95" s="5">
        <v>1</v>
      </c>
      <c r="S95" s="5">
        <v>0</v>
      </c>
      <c r="T95" s="5">
        <v>0</v>
      </c>
      <c r="U95" s="5" t="s">
        <v>103</v>
      </c>
      <c r="V95" s="5" t="s">
        <v>104</v>
      </c>
      <c r="W95" s="5" t="s">
        <v>105</v>
      </c>
      <c r="X95" s="5" t="s">
        <v>106</v>
      </c>
      <c r="Y95" s="5" t="s">
        <v>106</v>
      </c>
      <c r="Z95" s="5" t="str">
        <f>IF(ISNUMBER(MATCH(A95, TABLEAU_Floristique!B$1:DC$1, 0)), "OUI","NON")</f>
        <v>OUI</v>
      </c>
      <c r="AB95">
        <v>1</v>
      </c>
      <c r="AC95">
        <v>1</v>
      </c>
      <c r="AE95">
        <v>4.6262366843759124E-3</v>
      </c>
      <c r="AF95" s="5">
        <v>764.78179606331696</v>
      </c>
      <c r="AG95" s="5">
        <v>208.41158689706501</v>
      </c>
      <c r="AH95" s="5">
        <v>2971.7941525617198</v>
      </c>
      <c r="AI95" s="5">
        <v>305.06039466409402</v>
      </c>
      <c r="AJ95" s="5">
        <v>0.85528999999999999</v>
      </c>
      <c r="AK95" s="5">
        <v>1493.2297171881301</v>
      </c>
      <c r="AL95" s="5"/>
      <c r="AM95" s="5"/>
      <c r="AN95" s="5">
        <v>712</v>
      </c>
      <c r="AO95" s="5">
        <v>0</v>
      </c>
      <c r="AP95" s="5">
        <v>160</v>
      </c>
      <c r="AQ95" s="5">
        <v>2627</v>
      </c>
      <c r="AR95" s="5">
        <v>531</v>
      </c>
      <c r="AS95" s="5">
        <v>61</v>
      </c>
      <c r="AT95" s="5">
        <v>-6</v>
      </c>
      <c r="AU95" s="5">
        <v>29</v>
      </c>
      <c r="AV95" s="5">
        <v>0.12987000000000001</v>
      </c>
      <c r="AW95" s="5">
        <v>1</v>
      </c>
      <c r="AX95" s="5">
        <v>3.3376600000000001</v>
      </c>
      <c r="AY95" t="s">
        <v>112</v>
      </c>
      <c r="AZ95" t="s">
        <v>1429</v>
      </c>
      <c r="BA95">
        <v>387.71432796736332</v>
      </c>
    </row>
    <row r="96" spans="1:53" x14ac:dyDescent="0.25">
      <c r="A96" s="5" t="s">
        <v>223</v>
      </c>
      <c r="B96" s="6">
        <v>46190</v>
      </c>
      <c r="C96" s="5" t="s">
        <v>101</v>
      </c>
      <c r="D96" s="5">
        <v>696300.91899999999</v>
      </c>
      <c r="E96" s="5">
        <v>6391398.0080000004</v>
      </c>
      <c r="F96" s="5">
        <v>1</v>
      </c>
      <c r="G96" s="5">
        <v>321.34020996093801</v>
      </c>
      <c r="H96" s="5">
        <v>1215</v>
      </c>
      <c r="I96" s="5">
        <v>8</v>
      </c>
      <c r="J96" s="5">
        <v>11</v>
      </c>
      <c r="K96" s="5" t="s">
        <v>109</v>
      </c>
      <c r="L96" s="5">
        <v>5</v>
      </c>
      <c r="M96" s="5">
        <v>5</v>
      </c>
      <c r="N96" s="5" t="s">
        <v>126</v>
      </c>
      <c r="O96" s="5">
        <v>1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 t="s">
        <v>170</v>
      </c>
      <c r="V96" s="5" t="s">
        <v>104</v>
      </c>
      <c r="W96" s="5" t="s">
        <v>105</v>
      </c>
      <c r="X96" s="5" t="s">
        <v>106</v>
      </c>
      <c r="Y96" s="5" t="s">
        <v>106</v>
      </c>
      <c r="Z96" s="5" t="str">
        <f>IF(ISNUMBER(MATCH(A96, TABLEAU_Floristique!B$1:DC$1, 0)), "OUI","NON")</f>
        <v>OUI</v>
      </c>
      <c r="AB96">
        <v>0.88771</v>
      </c>
      <c r="AC96">
        <v>0.68513999999999997</v>
      </c>
      <c r="AD96">
        <v>0.11663888649425409</v>
      </c>
      <c r="AE96">
        <v>0.32002705088978212</v>
      </c>
      <c r="AF96" s="5">
        <v>281.010393513503</v>
      </c>
      <c r="AG96" s="5">
        <v>110.909011644562</v>
      </c>
      <c r="AH96" s="5">
        <v>1257.529600607</v>
      </c>
      <c r="AI96" s="5">
        <v>326.046862313921</v>
      </c>
      <c r="AJ96" s="5">
        <v>0.12239</v>
      </c>
      <c r="AK96" s="5">
        <v>1234.94530794908</v>
      </c>
      <c r="AL96" s="5"/>
      <c r="AM96" s="5"/>
      <c r="AN96" s="5">
        <v>737</v>
      </c>
      <c r="AO96" s="5">
        <v>0</v>
      </c>
      <c r="AP96" s="5">
        <v>151</v>
      </c>
      <c r="AQ96" s="5">
        <v>2677</v>
      </c>
      <c r="AR96" s="5">
        <v>802</v>
      </c>
      <c r="AS96" s="5">
        <v>60</v>
      </c>
      <c r="AT96" s="5">
        <v>-1</v>
      </c>
      <c r="AU96" s="5">
        <v>28</v>
      </c>
      <c r="AV96" s="5">
        <v>0.12987000000000001</v>
      </c>
      <c r="AW96" s="5">
        <v>1</v>
      </c>
      <c r="AX96" s="5">
        <v>3.3376600000000001</v>
      </c>
      <c r="AY96" t="s">
        <v>112</v>
      </c>
      <c r="AZ96" t="s">
        <v>1429</v>
      </c>
      <c r="BA96">
        <v>166.08865499048019</v>
      </c>
    </row>
    <row r="97" spans="1:53" x14ac:dyDescent="0.25">
      <c r="A97" s="5" t="s">
        <v>224</v>
      </c>
      <c r="B97" s="6">
        <v>46190</v>
      </c>
      <c r="C97" s="5" t="s">
        <v>101</v>
      </c>
      <c r="D97" s="5">
        <v>695817.81099999999</v>
      </c>
      <c r="E97" s="5">
        <v>6391645.0949999997</v>
      </c>
      <c r="F97" s="5">
        <v>2</v>
      </c>
      <c r="G97" s="5">
        <v>328.39248657226602</v>
      </c>
      <c r="H97" s="5">
        <v>1158</v>
      </c>
      <c r="I97" s="5">
        <v>5</v>
      </c>
      <c r="J97" s="5">
        <v>32</v>
      </c>
      <c r="K97" s="5" t="s">
        <v>118</v>
      </c>
      <c r="L97" s="5">
        <v>4</v>
      </c>
      <c r="M97" s="5">
        <v>5</v>
      </c>
      <c r="N97" s="5" t="s">
        <v>126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 t="s">
        <v>103</v>
      </c>
      <c r="V97" s="5" t="s">
        <v>104</v>
      </c>
      <c r="W97" s="5" t="s">
        <v>105</v>
      </c>
      <c r="X97" s="5" t="s">
        <v>110</v>
      </c>
      <c r="Y97" s="5" t="s">
        <v>106</v>
      </c>
      <c r="Z97" s="5" t="str">
        <f>IF(ISNUMBER(MATCH(A97, TABLEAU_Floristique!B$1:DC$1, 0)), "OUI","NON")</f>
        <v>OUI</v>
      </c>
      <c r="AB97">
        <v>1</v>
      </c>
      <c r="AC97">
        <v>0.95299999999999996</v>
      </c>
      <c r="AE97">
        <v>5.667446740917681E-2</v>
      </c>
      <c r="AF97" s="5">
        <v>467.715126488446</v>
      </c>
      <c r="AG97" s="5">
        <v>74.155228716935696</v>
      </c>
      <c r="AH97" s="5">
        <v>1796.69738516961</v>
      </c>
      <c r="AI97" s="5">
        <v>176.87027716949501</v>
      </c>
      <c r="AJ97" s="5">
        <v>0.45107999999999998</v>
      </c>
      <c r="AK97" s="5">
        <v>1325.0930652396301</v>
      </c>
      <c r="AL97" s="5"/>
      <c r="AM97" s="5"/>
      <c r="AN97" s="5">
        <v>729</v>
      </c>
      <c r="AO97" s="5">
        <v>0</v>
      </c>
      <c r="AP97" s="5">
        <v>165</v>
      </c>
      <c r="AQ97" s="5">
        <v>2677</v>
      </c>
      <c r="AR97" s="5">
        <v>816</v>
      </c>
      <c r="AS97" s="5">
        <v>70</v>
      </c>
      <c r="AT97" s="5">
        <v>-10</v>
      </c>
      <c r="AU97" s="5">
        <v>31</v>
      </c>
      <c r="AV97" s="5">
        <v>0.12987000000000001</v>
      </c>
      <c r="AW97" s="5">
        <v>1</v>
      </c>
      <c r="AX97" s="5">
        <v>3.3376600000000001</v>
      </c>
      <c r="AY97" t="s">
        <v>112</v>
      </c>
      <c r="AZ97" t="s">
        <v>1429</v>
      </c>
      <c r="BA97">
        <v>326.31401493940058</v>
      </c>
    </row>
    <row r="98" spans="1:53" x14ac:dyDescent="0.25">
      <c r="A98" s="5" t="s">
        <v>225</v>
      </c>
      <c r="B98" s="6">
        <v>46120</v>
      </c>
      <c r="C98" s="5" t="s">
        <v>101</v>
      </c>
      <c r="D98" s="5">
        <v>694481.37800000003</v>
      </c>
      <c r="E98" s="5">
        <v>6390893.2560000001</v>
      </c>
      <c r="F98" s="5">
        <v>4</v>
      </c>
      <c r="G98" s="5">
        <v>321.45880126953102</v>
      </c>
      <c r="H98" s="5">
        <v>1120</v>
      </c>
      <c r="I98" s="5">
        <v>5</v>
      </c>
      <c r="K98" s="5" t="s">
        <v>102</v>
      </c>
      <c r="L98" s="5">
        <v>5</v>
      </c>
      <c r="M98" s="5">
        <v>2</v>
      </c>
      <c r="N98" s="5">
        <v>2</v>
      </c>
      <c r="O98" s="5">
        <v>2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 t="s">
        <v>103</v>
      </c>
      <c r="V98" s="5" t="s">
        <v>104</v>
      </c>
      <c r="W98" s="5" t="s">
        <v>105</v>
      </c>
      <c r="X98" s="5" t="s">
        <v>106</v>
      </c>
      <c r="Y98" s="5" t="s">
        <v>106</v>
      </c>
      <c r="Z98" s="5" t="str">
        <f>IF(ISNUMBER(MATCH(A98, TABLEAU_Floristique!B$1:DC$1, 0)), "OUI","NON")</f>
        <v>OUI</v>
      </c>
      <c r="AB98">
        <v>0.94725000000000004</v>
      </c>
      <c r="AC98">
        <v>0.74439999999999995</v>
      </c>
      <c r="AD98">
        <v>5.9748820642723591E-2</v>
      </c>
      <c r="AE98">
        <v>0.27719364873760571</v>
      </c>
      <c r="AF98" s="5">
        <v>1050.3441714124299</v>
      </c>
      <c r="AG98" s="5">
        <v>788.84893764282799</v>
      </c>
      <c r="AH98" s="5">
        <v>2206.1704082665001</v>
      </c>
      <c r="AI98" s="5">
        <v>267.54535170704798</v>
      </c>
      <c r="AJ98" s="5">
        <v>0.25785000000000002</v>
      </c>
      <c r="AK98" s="5">
        <v>400.03193025045101</v>
      </c>
      <c r="AL98" s="5"/>
      <c r="AM98" s="5">
        <v>187.47152</v>
      </c>
      <c r="AN98" s="5">
        <v>738</v>
      </c>
      <c r="AO98" s="5">
        <v>0</v>
      </c>
      <c r="AP98" s="5">
        <v>164</v>
      </c>
      <c r="AQ98" s="5">
        <v>2724</v>
      </c>
      <c r="AR98" s="5">
        <v>724</v>
      </c>
      <c r="AS98" s="5">
        <v>70</v>
      </c>
      <c r="AT98" s="5">
        <v>-4</v>
      </c>
      <c r="AU98" s="5">
        <v>32</v>
      </c>
      <c r="AV98" s="5">
        <v>0.12987000000000001</v>
      </c>
      <c r="AW98" s="5">
        <v>1</v>
      </c>
      <c r="AX98" s="5">
        <v>3.3376600000000001</v>
      </c>
      <c r="AY98" t="s">
        <v>112</v>
      </c>
      <c r="AZ98" t="s">
        <v>1429</v>
      </c>
      <c r="BA98">
        <v>167.30435146766931</v>
      </c>
    </row>
    <row r="99" spans="1:53" x14ac:dyDescent="0.25">
      <c r="A99" s="5" t="s">
        <v>226</v>
      </c>
      <c r="B99" s="6">
        <v>46190</v>
      </c>
      <c r="C99" s="5" t="s">
        <v>101</v>
      </c>
      <c r="D99" s="5">
        <v>696417.2</v>
      </c>
      <c r="E99" s="5">
        <v>6391848.6960000005</v>
      </c>
      <c r="F99" s="5">
        <v>2</v>
      </c>
      <c r="G99" s="5">
        <v>172.18470764160199</v>
      </c>
      <c r="H99" s="5">
        <v>1172</v>
      </c>
      <c r="I99" s="5">
        <v>4</v>
      </c>
      <c r="J99" s="5">
        <v>18</v>
      </c>
      <c r="K99" s="5" t="s">
        <v>115</v>
      </c>
      <c r="L99" s="5">
        <v>5</v>
      </c>
      <c r="M99" s="5">
        <v>5</v>
      </c>
      <c r="N99" s="5">
        <v>2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 t="s">
        <v>103</v>
      </c>
      <c r="V99" s="5" t="s">
        <v>104</v>
      </c>
      <c r="W99" s="5" t="s">
        <v>105</v>
      </c>
      <c r="X99" s="5" t="s">
        <v>106</v>
      </c>
      <c r="Y99" s="5" t="s">
        <v>106</v>
      </c>
      <c r="Z99" s="5" t="str">
        <f>IF(ISNUMBER(MATCH(A99, TABLEAU_Floristique!B$1:DC$1, 0)), "OUI","NON")</f>
        <v>OUI</v>
      </c>
      <c r="AB99">
        <v>1</v>
      </c>
      <c r="AC99">
        <v>0.99992999999999999</v>
      </c>
      <c r="AD99">
        <v>3.8682318012421682E-2</v>
      </c>
      <c r="AE99">
        <v>1.2281847787111491E-2</v>
      </c>
      <c r="AF99" s="5">
        <v>742.59915516688204</v>
      </c>
      <c r="AG99" s="5">
        <v>39.221635472518599</v>
      </c>
      <c r="AH99" s="5">
        <v>1415.03265751406</v>
      </c>
      <c r="AI99" s="5">
        <v>79.294067975455306</v>
      </c>
      <c r="AJ99" s="5">
        <v>0.59255999999999998</v>
      </c>
      <c r="AK99" s="5">
        <v>1654.9452439333299</v>
      </c>
      <c r="AL99" s="5"/>
      <c r="AM99" s="5"/>
      <c r="AN99" s="5">
        <v>734</v>
      </c>
      <c r="AO99" s="5">
        <v>0</v>
      </c>
      <c r="AP99" s="5">
        <v>151</v>
      </c>
      <c r="AQ99" s="5">
        <v>2677</v>
      </c>
      <c r="AR99" s="5">
        <v>876</v>
      </c>
      <c r="AS99" s="5">
        <v>68</v>
      </c>
      <c r="AT99" s="5">
        <v>-9</v>
      </c>
      <c r="AU99" s="5">
        <v>28</v>
      </c>
      <c r="AV99" s="5">
        <v>1.13314</v>
      </c>
      <c r="AW99" s="5">
        <v>0.7409</v>
      </c>
      <c r="AX99" s="5">
        <v>2.3970400000000001</v>
      </c>
      <c r="AY99" t="s">
        <v>112</v>
      </c>
      <c r="AZ99" t="s">
        <v>1429</v>
      </c>
      <c r="BA99">
        <v>92.404344140218598</v>
      </c>
    </row>
    <row r="100" spans="1:53" x14ac:dyDescent="0.25">
      <c r="A100" s="5" t="s">
        <v>227</v>
      </c>
      <c r="B100" s="6">
        <v>46189</v>
      </c>
      <c r="C100" s="5" t="s">
        <v>101</v>
      </c>
      <c r="D100" s="5">
        <v>695097.35499999998</v>
      </c>
      <c r="E100" s="5">
        <v>6394509.4170000004</v>
      </c>
      <c r="F100" s="5">
        <v>2</v>
      </c>
      <c r="G100" s="5">
        <v>246.80140686035199</v>
      </c>
      <c r="H100" s="5">
        <v>1285</v>
      </c>
      <c r="I100" s="5">
        <v>5</v>
      </c>
      <c r="J100" s="5">
        <v>23</v>
      </c>
      <c r="K100" s="5" t="s">
        <v>115</v>
      </c>
      <c r="L100" s="5">
        <v>5</v>
      </c>
      <c r="M100" s="5">
        <v>4</v>
      </c>
      <c r="N100" s="5" t="s">
        <v>126</v>
      </c>
      <c r="O100" s="5">
        <v>1</v>
      </c>
      <c r="P100" s="5">
        <v>0</v>
      </c>
      <c r="Q100" s="5">
        <v>0</v>
      </c>
      <c r="R100" s="5">
        <v>0</v>
      </c>
      <c r="S100" s="5">
        <v>0</v>
      </c>
      <c r="T100" s="5">
        <v>1</v>
      </c>
      <c r="U100" s="5" t="s">
        <v>103</v>
      </c>
      <c r="V100" s="5" t="s">
        <v>104</v>
      </c>
      <c r="W100" s="5" t="s">
        <v>105</v>
      </c>
      <c r="X100" s="5" t="s">
        <v>110</v>
      </c>
      <c r="Y100" s="5" t="s">
        <v>106</v>
      </c>
      <c r="Z100" s="5" t="str">
        <f>IF(ISNUMBER(MATCH(A100, TABLEAU_Floristique!B$1:DC$1, 0)), "OUI","NON")</f>
        <v>OUI</v>
      </c>
      <c r="AB100">
        <v>0.91083999999999998</v>
      </c>
      <c r="AC100">
        <v>0.90919000000000005</v>
      </c>
      <c r="AD100">
        <v>5.0938867736309443E-2</v>
      </c>
      <c r="AE100">
        <v>8.2252098070177554E-2</v>
      </c>
      <c r="AF100" s="5">
        <v>105.403799334119</v>
      </c>
      <c r="AG100" s="5">
        <v>121.584310312162</v>
      </c>
      <c r="AH100" s="5">
        <v>3871.6591263784999</v>
      </c>
      <c r="AI100" s="5">
        <v>295.68435803116103</v>
      </c>
      <c r="AJ100" s="5">
        <v>0.89712000000000003</v>
      </c>
      <c r="AK100" s="5">
        <v>1294.47169382479</v>
      </c>
      <c r="AL100" s="5"/>
      <c r="AM100" s="5"/>
      <c r="AN100" s="5">
        <v>743</v>
      </c>
      <c r="AO100" s="5">
        <v>0</v>
      </c>
      <c r="AP100" s="5">
        <v>156</v>
      </c>
      <c r="AQ100" s="5">
        <v>2685</v>
      </c>
      <c r="AR100" s="5">
        <v>741</v>
      </c>
      <c r="AS100" s="5">
        <v>69</v>
      </c>
      <c r="AT100" s="5">
        <v>-10</v>
      </c>
      <c r="AU100" s="5">
        <v>29</v>
      </c>
      <c r="AV100" s="5">
        <v>0.30277999999999999</v>
      </c>
      <c r="AW100" s="5">
        <v>0.16514999999999999</v>
      </c>
      <c r="AX100" s="5">
        <v>0.68813999999999997</v>
      </c>
      <c r="AY100" t="s">
        <v>112</v>
      </c>
      <c r="AZ100" t="s">
        <v>1429</v>
      </c>
      <c r="BA100">
        <v>136.63571683114569</v>
      </c>
    </row>
    <row r="101" spans="1:53" x14ac:dyDescent="0.25">
      <c r="A101" s="5" t="s">
        <v>228</v>
      </c>
      <c r="B101" s="5"/>
      <c r="C101" s="5" t="s">
        <v>180</v>
      </c>
      <c r="D101" s="5">
        <v>696642.90419999999</v>
      </c>
      <c r="E101" s="5">
        <v>6378450.2999999998</v>
      </c>
      <c r="F101" s="5">
        <v>2</v>
      </c>
      <c r="G101" s="5">
        <v>187.05784606933599</v>
      </c>
      <c r="H101" s="5">
        <v>650</v>
      </c>
      <c r="I101" s="5">
        <v>5</v>
      </c>
      <c r="K101" s="5" t="s">
        <v>115</v>
      </c>
      <c r="L101" s="5">
        <v>4</v>
      </c>
      <c r="M101" s="5">
        <v>1</v>
      </c>
      <c r="N101" s="5">
        <v>4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 t="s">
        <v>103</v>
      </c>
      <c r="V101" s="5" t="s">
        <v>104</v>
      </c>
      <c r="W101" s="5" t="s">
        <v>105</v>
      </c>
      <c r="X101" s="5" t="s">
        <v>119</v>
      </c>
      <c r="Y101" s="5" t="s">
        <v>111</v>
      </c>
      <c r="Z101" s="5" t="str">
        <f>IF(ISNUMBER(MATCH(A101, TABLEAU_Floristique!B$1:DC$1, 0)), "OUI","NON")</f>
        <v>OUI</v>
      </c>
      <c r="AB101">
        <v>0.62887999999999999</v>
      </c>
      <c r="AC101">
        <v>0.57728000000000002</v>
      </c>
      <c r="AD101">
        <v>0.30393033049313328</v>
      </c>
      <c r="AE101">
        <v>0.37441167239329232</v>
      </c>
      <c r="AF101" s="5">
        <v>1994.5993015986601</v>
      </c>
      <c r="AG101" s="5">
        <v>87.255483283864194</v>
      </c>
      <c r="AH101" s="5">
        <v>8321.8786385644107</v>
      </c>
      <c r="AI101" s="5">
        <v>234.68769575307701</v>
      </c>
      <c r="AJ101" s="5">
        <v>7.3840000000000003E-2</v>
      </c>
      <c r="AK101" s="5">
        <v>100.80126515885701</v>
      </c>
      <c r="AL101" s="5">
        <v>235.48555999999999</v>
      </c>
      <c r="AM101" s="5">
        <v>622.04521</v>
      </c>
      <c r="AN101" s="5">
        <v>638</v>
      </c>
      <c r="AO101" s="5">
        <v>0</v>
      </c>
      <c r="AP101" s="5">
        <v>252</v>
      </c>
      <c r="AQ101" s="5">
        <v>2671</v>
      </c>
      <c r="AR101" s="5">
        <v>500</v>
      </c>
      <c r="AS101" s="5">
        <v>100</v>
      </c>
      <c r="AT101" s="5">
        <v>9</v>
      </c>
      <c r="AU101" s="5">
        <v>56</v>
      </c>
      <c r="AV101" s="5">
        <v>0.64295000000000002</v>
      </c>
      <c r="AW101" s="5">
        <v>0.81440000000000001</v>
      </c>
      <c r="AX101" s="5">
        <v>2.2074600000000002</v>
      </c>
      <c r="AY101" t="s">
        <v>112</v>
      </c>
      <c r="AZ101" t="s">
        <v>1432</v>
      </c>
      <c r="BA101">
        <v>62.015386910571912</v>
      </c>
    </row>
    <row r="102" spans="1:53" x14ac:dyDescent="0.25">
      <c r="A102" s="5" t="s">
        <v>229</v>
      </c>
      <c r="B102" s="5"/>
      <c r="C102" s="5" t="s">
        <v>180</v>
      </c>
      <c r="D102" s="5">
        <v>696497.83030000003</v>
      </c>
      <c r="E102" s="5">
        <v>6379742.0640000002</v>
      </c>
      <c r="F102" s="5">
        <v>4</v>
      </c>
      <c r="G102" s="5">
        <v>271.97491455078102</v>
      </c>
      <c r="H102" s="5">
        <v>665</v>
      </c>
      <c r="I102" s="5">
        <v>5</v>
      </c>
      <c r="K102" s="5" t="s">
        <v>115</v>
      </c>
      <c r="L102" s="5">
        <v>5</v>
      </c>
      <c r="M102" s="5">
        <v>2</v>
      </c>
      <c r="N102" s="5">
        <v>3</v>
      </c>
      <c r="O102" s="5">
        <v>0</v>
      </c>
      <c r="P102" s="5">
        <v>0</v>
      </c>
      <c r="Q102" s="5">
        <v>0</v>
      </c>
      <c r="R102" s="5">
        <v>1</v>
      </c>
      <c r="S102" s="5">
        <v>0</v>
      </c>
      <c r="T102" s="5">
        <v>0</v>
      </c>
      <c r="U102" s="5" t="s">
        <v>103</v>
      </c>
      <c r="V102" s="5" t="s">
        <v>104</v>
      </c>
      <c r="W102" s="5" t="s">
        <v>105</v>
      </c>
      <c r="X102" s="5" t="s">
        <v>119</v>
      </c>
      <c r="Y102" s="5" t="s">
        <v>111</v>
      </c>
      <c r="Z102" s="5" t="str">
        <f>IF(ISNUMBER(MATCH(A102, TABLEAU_Floristique!B$1:DC$1, 0)), "OUI","NON")</f>
        <v>OUI</v>
      </c>
      <c r="AB102">
        <v>0.57923999999999998</v>
      </c>
      <c r="AC102">
        <v>0.35077000000000003</v>
      </c>
      <c r="AD102">
        <v>0.42864337582473078</v>
      </c>
      <c r="AE102">
        <v>0.62059653231948686</v>
      </c>
      <c r="AF102" s="5">
        <v>1421.7545409995901</v>
      </c>
      <c r="AG102" s="5">
        <v>246.59103761911999</v>
      </c>
      <c r="AH102" s="5">
        <v>7275.4072135646502</v>
      </c>
      <c r="AI102" s="5">
        <v>32.702764319339998</v>
      </c>
      <c r="AJ102" s="5"/>
      <c r="AK102" s="5">
        <v>206.59075839456099</v>
      </c>
      <c r="AL102" s="5">
        <v>187.18469999999999</v>
      </c>
      <c r="AM102" s="5">
        <v>6470.5374499999998</v>
      </c>
      <c r="AN102" s="5">
        <v>655</v>
      </c>
      <c r="AO102" s="5">
        <v>0</v>
      </c>
      <c r="AP102" s="5">
        <v>237</v>
      </c>
      <c r="AQ102" s="5">
        <v>2688</v>
      </c>
      <c r="AR102" s="5">
        <v>443</v>
      </c>
      <c r="AS102" s="5">
        <v>91</v>
      </c>
      <c r="AT102" s="5">
        <v>6</v>
      </c>
      <c r="AU102" s="5">
        <v>49</v>
      </c>
      <c r="AV102" s="5">
        <v>0.64295000000000002</v>
      </c>
      <c r="AW102" s="5">
        <v>0.81440000000000001</v>
      </c>
      <c r="AX102" s="5">
        <v>2.2074600000000002</v>
      </c>
      <c r="AY102" t="s">
        <v>112</v>
      </c>
      <c r="AZ102" t="s">
        <v>1432</v>
      </c>
      <c r="BA102">
        <v>33.067916990497352</v>
      </c>
    </row>
    <row r="103" spans="1:53" x14ac:dyDescent="0.25">
      <c r="A103" s="5" t="s">
        <v>230</v>
      </c>
      <c r="B103" s="5"/>
      <c r="C103" s="5" t="s">
        <v>180</v>
      </c>
      <c r="D103" s="5">
        <v>695090.94110000005</v>
      </c>
      <c r="E103" s="5">
        <v>6377775.04</v>
      </c>
      <c r="F103" s="5">
        <v>2</v>
      </c>
      <c r="G103" s="5">
        <v>359.060791015625</v>
      </c>
      <c r="H103" s="5">
        <v>624</v>
      </c>
      <c r="I103" s="5">
        <v>5</v>
      </c>
      <c r="K103" s="5" t="s">
        <v>115</v>
      </c>
      <c r="L103" s="5">
        <v>4</v>
      </c>
      <c r="M103" s="5">
        <v>2</v>
      </c>
      <c r="N103" s="5">
        <v>4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 t="s">
        <v>103</v>
      </c>
      <c r="V103" s="5" t="s">
        <v>104</v>
      </c>
      <c r="W103" s="5" t="s">
        <v>105</v>
      </c>
      <c r="X103" s="5" t="s">
        <v>119</v>
      </c>
      <c r="Y103" s="5" t="s">
        <v>111</v>
      </c>
      <c r="Z103" s="5" t="str">
        <f>IF(ISNUMBER(MATCH(A103, TABLEAU_Floristique!B$1:DC$1, 0)), "OUI","NON")</f>
        <v>OUI</v>
      </c>
      <c r="AB103">
        <v>0.56818000000000002</v>
      </c>
      <c r="AC103">
        <v>0.47950999999999999</v>
      </c>
      <c r="AD103">
        <v>0.37147921133980127</v>
      </c>
      <c r="AE103">
        <v>0.46539014359928671</v>
      </c>
      <c r="AF103" s="5">
        <v>413.02246785049601</v>
      </c>
      <c r="AG103" s="5">
        <v>135.34232187018401</v>
      </c>
      <c r="AH103" s="5">
        <v>7907.6983972879398</v>
      </c>
      <c r="AI103" s="5">
        <v>215.39953075615199</v>
      </c>
      <c r="AJ103" s="5">
        <v>0.21973000000000001</v>
      </c>
      <c r="AK103" s="5">
        <v>238.016578811518</v>
      </c>
      <c r="AL103" s="5">
        <v>18.192250000000001</v>
      </c>
      <c r="AM103" s="5">
        <v>1268.8996199999999</v>
      </c>
      <c r="AN103" s="5">
        <v>645</v>
      </c>
      <c r="AO103" s="5">
        <v>0</v>
      </c>
      <c r="AP103" s="5">
        <v>254</v>
      </c>
      <c r="AQ103" s="5">
        <v>2691</v>
      </c>
      <c r="AR103" s="5">
        <v>411</v>
      </c>
      <c r="AS103" s="5">
        <v>97</v>
      </c>
      <c r="AT103" s="5">
        <v>11</v>
      </c>
      <c r="AU103" s="5">
        <v>53</v>
      </c>
      <c r="AV103" s="5">
        <v>0.64295000000000002</v>
      </c>
      <c r="AW103" s="5">
        <v>0.81440000000000001</v>
      </c>
      <c r="AX103" s="5">
        <v>2.2074600000000002</v>
      </c>
      <c r="AY103" t="s">
        <v>112</v>
      </c>
      <c r="AZ103" t="s">
        <v>1432</v>
      </c>
      <c r="BA103">
        <v>43.920470073145651</v>
      </c>
    </row>
    <row r="104" spans="1:53" x14ac:dyDescent="0.25">
      <c r="A104" s="5" t="s">
        <v>231</v>
      </c>
      <c r="B104" s="5"/>
      <c r="C104" s="5" t="s">
        <v>180</v>
      </c>
      <c r="D104" s="5">
        <v>701649.07369999995</v>
      </c>
      <c r="E104" s="5">
        <v>6384727.0269999998</v>
      </c>
      <c r="F104" s="5">
        <v>1</v>
      </c>
      <c r="G104" s="5">
        <v>130.36453247070301</v>
      </c>
      <c r="H104" s="5">
        <v>1047</v>
      </c>
      <c r="I104" s="5">
        <v>5</v>
      </c>
      <c r="K104" s="5" t="s">
        <v>115</v>
      </c>
      <c r="L104" s="5">
        <v>4</v>
      </c>
      <c r="M104" s="5">
        <v>4</v>
      </c>
      <c r="N104" s="5">
        <v>2</v>
      </c>
      <c r="O104" s="5">
        <v>0</v>
      </c>
      <c r="P104" s="5">
        <v>0</v>
      </c>
      <c r="Q104" s="5">
        <v>0</v>
      </c>
      <c r="R104" s="5">
        <v>1</v>
      </c>
      <c r="S104" s="5">
        <v>0</v>
      </c>
      <c r="T104" s="5">
        <v>0</v>
      </c>
      <c r="U104" s="5" t="s">
        <v>103</v>
      </c>
      <c r="V104" s="5" t="s">
        <v>104</v>
      </c>
      <c r="W104" s="5" t="s">
        <v>105</v>
      </c>
      <c r="X104" s="5" t="s">
        <v>106</v>
      </c>
      <c r="Y104" s="5" t="s">
        <v>106</v>
      </c>
      <c r="Z104" s="5" t="str">
        <f>IF(ISNUMBER(MATCH(A104, TABLEAU_Floristique!B$1:DC$1, 0)), "OUI","NON")</f>
        <v>OUI</v>
      </c>
      <c r="AA104" s="7" t="s">
        <v>232</v>
      </c>
      <c r="AB104">
        <v>0.56752999999999998</v>
      </c>
      <c r="AC104">
        <v>0.69254000000000004</v>
      </c>
      <c r="AD104">
        <v>0.48846599386359218</v>
      </c>
      <c r="AE104">
        <v>0.36162650836313459</v>
      </c>
      <c r="AF104" s="5">
        <v>1914.96215965183</v>
      </c>
      <c r="AG104" s="5">
        <v>191.901781596674</v>
      </c>
      <c r="AH104" s="5">
        <v>6962.2261805878798</v>
      </c>
      <c r="AI104" s="5">
        <v>103.947796362425</v>
      </c>
      <c r="AJ104" s="5">
        <v>0.18942000000000001</v>
      </c>
      <c r="AK104" s="5">
        <v>48.130479747170199</v>
      </c>
      <c r="AL104" s="5">
        <v>34.685940000000002</v>
      </c>
      <c r="AM104" s="5">
        <v>34.685940000000002</v>
      </c>
      <c r="AN104" s="5">
        <v>691</v>
      </c>
      <c r="AO104" s="5">
        <v>0</v>
      </c>
      <c r="AP104" s="5">
        <v>176</v>
      </c>
      <c r="AQ104" s="5">
        <v>2603</v>
      </c>
      <c r="AR104" s="5">
        <v>773</v>
      </c>
      <c r="AS104" s="5">
        <v>72</v>
      </c>
      <c r="AT104" s="5">
        <v>-10</v>
      </c>
      <c r="AU104" s="5">
        <v>33</v>
      </c>
      <c r="AV104" s="5">
        <v>0.64295000000000002</v>
      </c>
      <c r="AW104" s="5">
        <v>0.81440000000000001</v>
      </c>
      <c r="AX104" s="5">
        <v>2.2074600000000002</v>
      </c>
      <c r="AY104" t="s">
        <v>112</v>
      </c>
      <c r="AZ104" t="s">
        <v>1432</v>
      </c>
      <c r="BA104">
        <v>0</v>
      </c>
    </row>
    <row r="105" spans="1:53" x14ac:dyDescent="0.25">
      <c r="A105" s="5" t="s">
        <v>233</v>
      </c>
      <c r="B105" s="5"/>
      <c r="C105" s="5" t="s">
        <v>180</v>
      </c>
      <c r="D105" s="5">
        <v>700191.86089999997</v>
      </c>
      <c r="E105" s="5">
        <v>6382399.4199999999</v>
      </c>
      <c r="F105" s="5">
        <v>4</v>
      </c>
      <c r="G105" s="5">
        <v>305.19390869140602</v>
      </c>
      <c r="H105" s="5">
        <v>1010</v>
      </c>
      <c r="I105" s="5">
        <v>6</v>
      </c>
      <c r="K105" s="5" t="s">
        <v>115</v>
      </c>
      <c r="L105" s="5">
        <v>4</v>
      </c>
      <c r="M105" s="5" t="s">
        <v>126</v>
      </c>
      <c r="N105" s="5">
        <v>1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 t="s">
        <v>103</v>
      </c>
      <c r="V105" s="5" t="s">
        <v>104</v>
      </c>
      <c r="W105" s="5" t="s">
        <v>105</v>
      </c>
      <c r="X105" s="5" t="s">
        <v>116</v>
      </c>
      <c r="Y105" s="5" t="s">
        <v>111</v>
      </c>
      <c r="Z105" s="5" t="str">
        <f>IF(ISNUMBER(MATCH(A105, TABLEAU_Floristique!B$1:DC$1, 0)), "OUI","NON")</f>
        <v>OUI</v>
      </c>
      <c r="AB105">
        <v>0.70747000000000004</v>
      </c>
      <c r="AC105">
        <v>0.60536999999999996</v>
      </c>
      <c r="AD105">
        <v>0.2795567894343951</v>
      </c>
      <c r="AE105">
        <v>0.34689580047529289</v>
      </c>
      <c r="AF105" s="5">
        <v>938.61692480408499</v>
      </c>
      <c r="AG105" s="5">
        <v>113.814997380929</v>
      </c>
      <c r="AH105" s="5">
        <v>7800.7822407370404</v>
      </c>
      <c r="AI105" s="5">
        <v>270.33002419882001</v>
      </c>
      <c r="AJ105" s="5">
        <v>0.12747</v>
      </c>
      <c r="AK105" s="5">
        <v>891.38456052848096</v>
      </c>
      <c r="AL105" s="5"/>
      <c r="AM105" s="5"/>
      <c r="AN105" s="5">
        <v>697</v>
      </c>
      <c r="AO105" s="5">
        <v>0</v>
      </c>
      <c r="AP105" s="5">
        <v>182</v>
      </c>
      <c r="AQ105" s="5">
        <v>2643</v>
      </c>
      <c r="AR105" s="5">
        <v>315</v>
      </c>
      <c r="AS105" s="5">
        <v>72</v>
      </c>
      <c r="AT105" s="5">
        <v>3</v>
      </c>
      <c r="AU105" s="5">
        <v>36</v>
      </c>
      <c r="AV105" s="5">
        <v>0.99497000000000002</v>
      </c>
      <c r="AW105" s="5">
        <v>0.21240999999999999</v>
      </c>
      <c r="AX105" s="5">
        <v>0.80491999999999997</v>
      </c>
      <c r="AY105" t="s">
        <v>112</v>
      </c>
      <c r="AZ105" t="s">
        <v>1432</v>
      </c>
      <c r="BA105">
        <v>78.268054497020302</v>
      </c>
    </row>
    <row r="106" spans="1:53" x14ac:dyDescent="0.25">
      <c r="A106" s="5" t="s">
        <v>234</v>
      </c>
      <c r="B106" s="6">
        <v>46203</v>
      </c>
      <c r="C106" s="5" t="s">
        <v>101</v>
      </c>
      <c r="D106" s="5">
        <v>702020.652</v>
      </c>
      <c r="E106" s="5">
        <v>6379072.483</v>
      </c>
      <c r="F106" s="5">
        <v>4</v>
      </c>
      <c r="G106" s="5">
        <v>259.90249633789102</v>
      </c>
      <c r="H106" s="5">
        <v>940</v>
      </c>
      <c r="I106" s="5">
        <v>5</v>
      </c>
      <c r="J106" s="5">
        <v>19</v>
      </c>
      <c r="K106" s="5" t="s">
        <v>115</v>
      </c>
      <c r="L106" s="5">
        <v>3</v>
      </c>
      <c r="M106" s="5">
        <v>2</v>
      </c>
      <c r="N106" s="5">
        <v>5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 t="s">
        <v>103</v>
      </c>
      <c r="V106" s="5" t="s">
        <v>104</v>
      </c>
      <c r="W106" s="5" t="s">
        <v>105</v>
      </c>
      <c r="X106" s="5" t="s">
        <v>116</v>
      </c>
      <c r="Y106" s="5" t="s">
        <v>111</v>
      </c>
      <c r="Z106" s="5" t="str">
        <f>IF(ISNUMBER(MATCH(A106, TABLEAU_Floristique!B$1:DC$1, 0)), "OUI","NON")</f>
        <v>OUI</v>
      </c>
      <c r="AB106">
        <v>0.79476000000000002</v>
      </c>
      <c r="AC106">
        <v>0.70831</v>
      </c>
      <c r="AD106">
        <v>0.16450025629860179</v>
      </c>
      <c r="AE106">
        <v>0.29965637437940629</v>
      </c>
      <c r="AF106" s="5">
        <v>897.38125587352295</v>
      </c>
      <c r="AG106" s="5">
        <v>489.569779844545</v>
      </c>
      <c r="AH106" s="5">
        <v>11311.704233151</v>
      </c>
      <c r="AI106" s="5">
        <v>130.72350633313201</v>
      </c>
      <c r="AJ106" s="5">
        <v>0.15018000000000001</v>
      </c>
      <c r="AK106" s="5">
        <v>457.02320421695401</v>
      </c>
      <c r="AL106" s="5"/>
      <c r="AM106" s="5">
        <v>35.894829999999999</v>
      </c>
      <c r="AN106" s="5">
        <v>653</v>
      </c>
      <c r="AO106" s="5">
        <v>0</v>
      </c>
      <c r="AP106" s="5">
        <v>229</v>
      </c>
      <c r="AQ106" s="5">
        <v>2646</v>
      </c>
      <c r="AR106" s="5">
        <v>312</v>
      </c>
      <c r="AS106" s="5">
        <v>89</v>
      </c>
      <c r="AT106" s="5">
        <v>1</v>
      </c>
      <c r="AU106" s="5">
        <v>48</v>
      </c>
      <c r="AV106" s="5">
        <v>0.99497000000000002</v>
      </c>
      <c r="AW106" s="5">
        <v>0.21240999999999999</v>
      </c>
      <c r="AX106" s="5">
        <v>0.80491999999999997</v>
      </c>
      <c r="AY106" t="s">
        <v>112</v>
      </c>
      <c r="AZ106" t="s">
        <v>1432</v>
      </c>
      <c r="BA106">
        <v>62.165040762263388</v>
      </c>
    </row>
    <row r="107" spans="1:53" x14ac:dyDescent="0.25">
      <c r="A107" s="5" t="s">
        <v>235</v>
      </c>
      <c r="B107" s="6">
        <v>46175</v>
      </c>
      <c r="C107" s="5" t="s">
        <v>236</v>
      </c>
      <c r="D107" s="5">
        <v>689012.91</v>
      </c>
      <c r="E107" s="5">
        <v>6388513.8600000003</v>
      </c>
      <c r="F107" s="5">
        <v>3</v>
      </c>
      <c r="G107" s="5">
        <v>145.15426635742199</v>
      </c>
      <c r="H107" s="5">
        <v>853</v>
      </c>
      <c r="I107" s="5">
        <v>6</v>
      </c>
      <c r="K107" s="5" t="s">
        <v>102</v>
      </c>
      <c r="L107" s="5">
        <v>5</v>
      </c>
      <c r="M107" s="5">
        <v>1</v>
      </c>
      <c r="N107" s="5">
        <v>3</v>
      </c>
      <c r="O107" s="5">
        <v>2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 t="s">
        <v>103</v>
      </c>
      <c r="V107" s="5" t="s">
        <v>104</v>
      </c>
      <c r="W107" s="5" t="s">
        <v>105</v>
      </c>
      <c r="X107" s="5" t="s">
        <v>237</v>
      </c>
      <c r="Y107" s="5" t="s">
        <v>139</v>
      </c>
      <c r="Z107" s="5" t="str">
        <f>IF(ISNUMBER(MATCH(A107, TABLEAU_Floristique!B$1:DC$1, 0)), "OUI","NON")</f>
        <v>OUI</v>
      </c>
      <c r="AA107" s="7" t="s">
        <v>238</v>
      </c>
      <c r="AB107">
        <v>0.76278000000000001</v>
      </c>
      <c r="AC107">
        <v>0.68396000000000001</v>
      </c>
      <c r="AD107">
        <v>0.20985204114152681</v>
      </c>
      <c r="AE107">
        <v>0.31174954737352029</v>
      </c>
      <c r="AF107" s="5">
        <v>846.98850623826002</v>
      </c>
      <c r="AG107" s="5">
        <v>409.91545189178402</v>
      </c>
      <c r="AH107" s="5">
        <v>4051.21258104549</v>
      </c>
      <c r="AI107" s="5">
        <v>229.628542868773</v>
      </c>
      <c r="AJ107" s="5">
        <v>3.3140000000000003E-2</v>
      </c>
      <c r="AK107" s="5">
        <v>590.04270328479697</v>
      </c>
      <c r="AL107" s="5"/>
      <c r="AM107" s="5"/>
      <c r="AN107" s="5">
        <v>731</v>
      </c>
      <c r="AO107" s="5">
        <v>0</v>
      </c>
      <c r="AP107" s="5">
        <v>214</v>
      </c>
      <c r="AQ107" s="5">
        <v>2828</v>
      </c>
      <c r="AR107" s="5">
        <v>755</v>
      </c>
      <c r="AS107" s="5">
        <v>87</v>
      </c>
      <c r="AT107" s="5">
        <v>4</v>
      </c>
      <c r="AU107" s="5">
        <v>45</v>
      </c>
      <c r="AV107" s="5">
        <v>1.13314</v>
      </c>
      <c r="AW107" s="5">
        <v>0.7409</v>
      </c>
      <c r="AX107" s="5">
        <v>2.3970400000000001</v>
      </c>
      <c r="AY107" t="s">
        <v>112</v>
      </c>
      <c r="AZ107" t="s">
        <v>1428</v>
      </c>
      <c r="BA107">
        <v>78.879450428904278</v>
      </c>
    </row>
    <row r="108" spans="1:53" x14ac:dyDescent="0.25">
      <c r="A108" s="5" t="s">
        <v>239</v>
      </c>
      <c r="B108" s="6">
        <v>46175</v>
      </c>
      <c r="C108" s="5" t="s">
        <v>236</v>
      </c>
      <c r="D108" s="5">
        <v>688622.49</v>
      </c>
      <c r="E108" s="5">
        <v>6388118</v>
      </c>
      <c r="F108" s="5">
        <v>4</v>
      </c>
      <c r="G108" s="5">
        <v>132.61405944824199</v>
      </c>
      <c r="H108" s="5">
        <v>810</v>
      </c>
      <c r="I108" s="5">
        <v>6</v>
      </c>
      <c r="K108" s="5" t="s">
        <v>115</v>
      </c>
      <c r="L108" s="5">
        <v>1</v>
      </c>
      <c r="M108" s="5">
        <v>3</v>
      </c>
      <c r="N108" s="5">
        <v>3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 t="s">
        <v>103</v>
      </c>
      <c r="V108" s="5" t="s">
        <v>104</v>
      </c>
      <c r="W108" s="5" t="s">
        <v>105</v>
      </c>
      <c r="X108" s="5" t="s">
        <v>116</v>
      </c>
      <c r="Y108" s="5" t="s">
        <v>111</v>
      </c>
      <c r="Z108" s="5" t="str">
        <f>IF(ISNUMBER(MATCH(A108, TABLEAU_Floristique!B$1:DC$1, 0)), "OUI","NON")</f>
        <v>OUI</v>
      </c>
      <c r="AB108">
        <v>0.89551000000000003</v>
      </c>
      <c r="AC108">
        <v>0.81072</v>
      </c>
      <c r="AD108">
        <v>0.1061707055158769</v>
      </c>
      <c r="AE108">
        <v>0.18762241310383071</v>
      </c>
      <c r="AF108" s="5">
        <v>1212.94838806083</v>
      </c>
      <c r="AG108" s="5">
        <v>687.61296969988302</v>
      </c>
      <c r="AH108" s="5">
        <v>3802.7961597281201</v>
      </c>
      <c r="AI108" s="5">
        <v>143.67917072437601</v>
      </c>
      <c r="AJ108" s="5">
        <v>5.6869999999999997E-2</v>
      </c>
      <c r="AK108" s="5">
        <v>731.40387208408902</v>
      </c>
      <c r="AL108" s="5"/>
      <c r="AM108" s="5"/>
      <c r="AN108" s="5">
        <v>731</v>
      </c>
      <c r="AO108" s="5">
        <v>0</v>
      </c>
      <c r="AP108" s="5">
        <v>214</v>
      </c>
      <c r="AQ108" s="5">
        <v>2828</v>
      </c>
      <c r="AR108" s="5">
        <v>755</v>
      </c>
      <c r="AS108" s="5">
        <v>87</v>
      </c>
      <c r="AT108" s="5">
        <v>4</v>
      </c>
      <c r="AU108" s="5">
        <v>45</v>
      </c>
      <c r="AV108" s="5">
        <v>1.13314</v>
      </c>
      <c r="AW108" s="5">
        <v>0.7409</v>
      </c>
      <c r="AX108" s="5">
        <v>2.3970400000000001</v>
      </c>
      <c r="AY108" t="s">
        <v>112</v>
      </c>
      <c r="AZ108" t="s">
        <v>1428</v>
      </c>
      <c r="BA108">
        <v>140</v>
      </c>
    </row>
  </sheetData>
  <autoFilter ref="A1:BA108" xr:uid="{00000000-0001-0000-0100-000000000000}"/>
  <dataValidations count="4">
    <dataValidation type="list" allowBlank="1" showInputMessage="1" showErrorMessage="1" sqref="U2:W1108" xr:uid="{00000000-0002-0000-0100-000000000000}">
      <formula1>"Nord,Sud,Est,Ouest"</formula1>
      <formula2>0</formula2>
    </dataValidation>
    <dataValidation type="list" allowBlank="1" showInputMessage="1" showErrorMessage="1" sqref="I2:I1108" xr:uid="{00000000-0002-0000-0100-000001000000}">
      <formula1>"1,2,3,4,5,6,7,8,9"</formula1>
      <formula2>0</formula2>
    </dataValidation>
    <dataValidation type="list" allowBlank="1" showInputMessage="1" showErrorMessage="1" sqref="F2:H1108" xr:uid="{00000000-0002-0000-0100-000002000000}">
      <formula1>"1,2,3,4,5"</formula1>
      <formula2>0</formula2>
    </dataValidation>
    <dataValidation type="list" allowBlank="1" showInputMessage="1" showErrorMessage="1" sqref="Z2:Z1108" xr:uid="{00000000-0002-0000-0100-000003000000}">
      <formula1>"OUI,NON"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4000000}">
          <x14:formula1>
            <xm:f>CALCUL_Taux!$G$2:$G$8</xm:f>
          </x14:formula1>
          <x14:formula2>
            <xm:f>0</xm:f>
          </x14:formula2>
          <xm:sqref>L2:N1108</xm:sqref>
        </x14:dataValidation>
        <x14:dataValidation type="list" allowBlank="1" showInputMessage="1" showErrorMessage="1" xr:uid="{00000000-0002-0000-0100-000005000000}">
          <x14:formula1>
            <xm:f>CLASSES_Structure!$A$2:$A$6</xm:f>
          </x14:formula1>
          <x14:formula2>
            <xm:f>0</xm:f>
          </x14:formula2>
          <xm:sqref>K2:K1108</xm:sqref>
        </x14:dataValidation>
        <x14:dataValidation type="list" allowBlank="1" showInputMessage="1" showErrorMessage="1" xr:uid="{00000000-0002-0000-0100-000006000000}">
          <x14:formula1>
            <xm:f>CLASSES_Structure!$D$2:$D$12</xm:f>
          </x14:formula1>
          <x14:formula2>
            <xm:f>0</xm:f>
          </x14:formula2>
          <xm:sqref>X2:X1108</xm:sqref>
        </x14:dataValidation>
        <x14:dataValidation type="list" allowBlank="1" showInputMessage="1" showErrorMessage="1" xr:uid="{00000000-0002-0000-0100-000007000000}">
          <x14:formula1>
            <xm:f>CLASSES_Structure!$G$2:$G$4</xm:f>
          </x14:formula1>
          <x14:formula2>
            <xm:f>0</xm:f>
          </x14:formula2>
          <xm:sqref>Y2:Y1108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66"/>
  <sheetViews>
    <sheetView zoomScaleNormal="100" workbookViewId="0">
      <selection activeCell="C21" sqref="C21"/>
    </sheetView>
  </sheetViews>
  <sheetFormatPr defaultColWidth="10.7109375" defaultRowHeight="15" x14ac:dyDescent="0.25"/>
  <cols>
    <col min="1" max="1" width="8.7109375" style="13" customWidth="1"/>
    <col min="2" max="2" width="18.28515625" style="13" customWidth="1"/>
    <col min="3" max="3" width="23.5703125" style="13" customWidth="1"/>
    <col min="4" max="4" width="22" style="13" customWidth="1"/>
    <col min="5" max="5" width="21.7109375" style="13" customWidth="1"/>
  </cols>
  <sheetData>
    <row r="1" spans="1:5" ht="15" customHeight="1" x14ac:dyDescent="0.25">
      <c r="A1" s="14" t="s">
        <v>240</v>
      </c>
      <c r="B1" s="15" t="s">
        <v>241</v>
      </c>
      <c r="C1" s="15" t="s">
        <v>242</v>
      </c>
      <c r="D1" s="15" t="s">
        <v>95</v>
      </c>
      <c r="E1" s="16" t="s">
        <v>243</v>
      </c>
    </row>
    <row r="2" spans="1:5" x14ac:dyDescent="0.25">
      <c r="A2" s="17" t="s">
        <v>164</v>
      </c>
      <c r="B2" s="17" t="s">
        <v>244</v>
      </c>
      <c r="C2" s="17" t="s">
        <v>245</v>
      </c>
      <c r="D2" s="17">
        <v>2</v>
      </c>
      <c r="E2" s="17" t="s">
        <v>177</v>
      </c>
    </row>
    <row r="3" spans="1:5" x14ac:dyDescent="0.25">
      <c r="A3" s="13" t="s">
        <v>164</v>
      </c>
      <c r="B3" s="13" t="s">
        <v>244</v>
      </c>
      <c r="C3" s="13" t="s">
        <v>246</v>
      </c>
      <c r="D3" s="13">
        <v>4</v>
      </c>
      <c r="E3" s="13" t="s">
        <v>247</v>
      </c>
    </row>
    <row r="4" spans="1:5" x14ac:dyDescent="0.25">
      <c r="A4" s="13" t="s">
        <v>164</v>
      </c>
      <c r="B4" s="13" t="s">
        <v>244</v>
      </c>
      <c r="C4" s="13" t="s">
        <v>248</v>
      </c>
      <c r="D4" s="13">
        <v>4</v>
      </c>
      <c r="E4" s="13" t="s">
        <v>247</v>
      </c>
    </row>
    <row r="5" spans="1:5" x14ac:dyDescent="0.25">
      <c r="A5" s="13" t="s">
        <v>164</v>
      </c>
      <c r="B5" s="13" t="s">
        <v>244</v>
      </c>
      <c r="C5" s="13" t="s">
        <v>249</v>
      </c>
      <c r="D5" s="13">
        <v>3</v>
      </c>
      <c r="E5" s="13" t="s">
        <v>247</v>
      </c>
    </row>
    <row r="6" spans="1:5" s="19" customFormat="1" x14ac:dyDescent="0.25">
      <c r="A6" s="18" t="s">
        <v>164</v>
      </c>
      <c r="B6" s="18" t="s">
        <v>244</v>
      </c>
      <c r="C6" s="18" t="s">
        <v>250</v>
      </c>
      <c r="D6" s="18">
        <v>1</v>
      </c>
      <c r="E6" s="18" t="s">
        <v>247</v>
      </c>
    </row>
    <row r="7" spans="1:5" x14ac:dyDescent="0.25">
      <c r="A7" s="13" t="s">
        <v>164</v>
      </c>
      <c r="B7" s="13" t="s">
        <v>251</v>
      </c>
      <c r="C7" s="13" t="s">
        <v>245</v>
      </c>
      <c r="D7" s="13">
        <v>4</v>
      </c>
      <c r="E7" s="13" t="s">
        <v>177</v>
      </c>
    </row>
    <row r="8" spans="1:5" x14ac:dyDescent="0.25">
      <c r="A8" s="13" t="s">
        <v>164</v>
      </c>
      <c r="B8" s="13" t="s">
        <v>251</v>
      </c>
      <c r="C8" s="13" t="s">
        <v>252</v>
      </c>
      <c r="D8" s="13">
        <v>5</v>
      </c>
      <c r="E8" s="13" t="s">
        <v>247</v>
      </c>
    </row>
    <row r="9" spans="1:5" x14ac:dyDescent="0.25">
      <c r="A9" s="13" t="s">
        <v>164</v>
      </c>
      <c r="B9" s="13" t="s">
        <v>251</v>
      </c>
      <c r="C9" s="13" t="s">
        <v>253</v>
      </c>
      <c r="D9" s="13">
        <v>2</v>
      </c>
      <c r="E9" s="13" t="s">
        <v>177</v>
      </c>
    </row>
    <row r="10" spans="1:5" x14ac:dyDescent="0.25">
      <c r="A10" s="13" t="s">
        <v>164</v>
      </c>
      <c r="B10" s="13" t="s">
        <v>251</v>
      </c>
      <c r="C10" s="13" t="s">
        <v>246</v>
      </c>
      <c r="D10" s="13">
        <v>2</v>
      </c>
      <c r="E10" s="13" t="s">
        <v>247</v>
      </c>
    </row>
    <row r="11" spans="1:5" x14ac:dyDescent="0.25">
      <c r="A11" s="13" t="s">
        <v>164</v>
      </c>
      <c r="B11" s="13" t="s">
        <v>251</v>
      </c>
      <c r="C11" s="13" t="s">
        <v>254</v>
      </c>
      <c r="D11" s="13">
        <v>3</v>
      </c>
      <c r="E11" s="13" t="s">
        <v>247</v>
      </c>
    </row>
    <row r="12" spans="1:5" x14ac:dyDescent="0.25">
      <c r="A12" s="13" t="s">
        <v>164</v>
      </c>
      <c r="B12" s="13" t="s">
        <v>255</v>
      </c>
      <c r="C12" s="13" t="s">
        <v>246</v>
      </c>
      <c r="D12" s="13">
        <v>4</v>
      </c>
      <c r="E12" s="13" t="s">
        <v>177</v>
      </c>
    </row>
    <row r="13" spans="1:5" x14ac:dyDescent="0.25">
      <c r="A13" s="13" t="s">
        <v>164</v>
      </c>
      <c r="B13" s="13" t="s">
        <v>255</v>
      </c>
      <c r="C13" s="13" t="s">
        <v>253</v>
      </c>
      <c r="D13" s="13">
        <v>3</v>
      </c>
      <c r="E13" s="13" t="s">
        <v>177</v>
      </c>
    </row>
    <row r="14" spans="1:5" x14ac:dyDescent="0.25">
      <c r="A14" s="13" t="s">
        <v>164</v>
      </c>
      <c r="B14" s="13" t="s">
        <v>255</v>
      </c>
      <c r="C14" s="13" t="s">
        <v>245</v>
      </c>
      <c r="D14" s="13">
        <v>2</v>
      </c>
      <c r="E14" s="13" t="s">
        <v>247</v>
      </c>
    </row>
    <row r="15" spans="1:5" x14ac:dyDescent="0.25">
      <c r="A15" s="13" t="s">
        <v>164</v>
      </c>
      <c r="B15" s="13" t="s">
        <v>255</v>
      </c>
      <c r="C15" s="13" t="s">
        <v>256</v>
      </c>
      <c r="D15" s="13">
        <v>2</v>
      </c>
      <c r="E15" s="13" t="s">
        <v>247</v>
      </c>
    </row>
    <row r="16" spans="1:5" x14ac:dyDescent="0.25">
      <c r="A16" s="13" t="s">
        <v>164</v>
      </c>
      <c r="B16" s="13" t="s">
        <v>255</v>
      </c>
      <c r="C16" s="13" t="s">
        <v>249</v>
      </c>
      <c r="D16" s="13">
        <v>1</v>
      </c>
      <c r="E16" s="13" t="s">
        <v>247</v>
      </c>
    </row>
    <row r="17" spans="1:5" s="19" customFormat="1" x14ac:dyDescent="0.25">
      <c r="A17" s="18" t="s">
        <v>164</v>
      </c>
      <c r="B17" s="18" t="s">
        <v>255</v>
      </c>
      <c r="C17" s="18" t="s">
        <v>250</v>
      </c>
      <c r="D17" s="18">
        <v>2</v>
      </c>
      <c r="E17" s="18" t="s">
        <v>177</v>
      </c>
    </row>
    <row r="18" spans="1:5" s="19" customFormat="1" x14ac:dyDescent="0.25">
      <c r="A18" s="18" t="s">
        <v>164</v>
      </c>
      <c r="B18" s="18" t="s">
        <v>255</v>
      </c>
      <c r="C18" s="18" t="s">
        <v>257</v>
      </c>
      <c r="D18" s="18">
        <v>1</v>
      </c>
      <c r="E18" s="18" t="s">
        <v>247</v>
      </c>
    </row>
    <row r="19" spans="1:5" x14ac:dyDescent="0.25">
      <c r="A19" s="13" t="s">
        <v>164</v>
      </c>
      <c r="B19" s="13" t="s">
        <v>255</v>
      </c>
      <c r="C19" s="13" t="s">
        <v>252</v>
      </c>
      <c r="D19" s="13">
        <v>1</v>
      </c>
      <c r="E19" s="13" t="s">
        <v>247</v>
      </c>
    </row>
    <row r="20" spans="1:5" x14ac:dyDescent="0.25">
      <c r="A20" s="13" t="s">
        <v>200</v>
      </c>
      <c r="B20" s="13" t="s">
        <v>258</v>
      </c>
      <c r="C20" s="13" t="s">
        <v>246</v>
      </c>
      <c r="D20" s="13">
        <v>3</v>
      </c>
      <c r="E20" s="13" t="s">
        <v>177</v>
      </c>
    </row>
    <row r="21" spans="1:5" x14ac:dyDescent="0.25">
      <c r="A21" s="13" t="s">
        <v>200</v>
      </c>
      <c r="B21" s="13" t="s">
        <v>258</v>
      </c>
      <c r="C21" s="13" t="s">
        <v>259</v>
      </c>
      <c r="D21" s="13">
        <v>1</v>
      </c>
      <c r="E21" s="13" t="s">
        <v>247</v>
      </c>
    </row>
    <row r="22" spans="1:5" x14ac:dyDescent="0.25">
      <c r="A22" s="13" t="s">
        <v>200</v>
      </c>
      <c r="B22" s="13" t="s">
        <v>260</v>
      </c>
      <c r="C22" s="13" t="s">
        <v>246</v>
      </c>
      <c r="D22" s="13">
        <v>3</v>
      </c>
      <c r="E22" s="13" t="s">
        <v>247</v>
      </c>
    </row>
    <row r="23" spans="1:5" x14ac:dyDescent="0.25">
      <c r="A23" s="13" t="s">
        <v>200</v>
      </c>
      <c r="B23" s="13" t="s">
        <v>261</v>
      </c>
      <c r="C23" s="13" t="s">
        <v>246</v>
      </c>
      <c r="D23" s="13">
        <v>1</v>
      </c>
      <c r="E23" s="13" t="s">
        <v>247</v>
      </c>
    </row>
    <row r="24" spans="1:5" x14ac:dyDescent="0.25">
      <c r="A24" s="13" t="s">
        <v>134</v>
      </c>
      <c r="B24" s="13" t="s">
        <v>262</v>
      </c>
      <c r="C24" s="13" t="s">
        <v>246</v>
      </c>
      <c r="D24" s="13">
        <v>2</v>
      </c>
      <c r="E24" s="13" t="s">
        <v>247</v>
      </c>
    </row>
    <row r="25" spans="1:5" x14ac:dyDescent="0.25">
      <c r="A25" s="13" t="s">
        <v>134</v>
      </c>
      <c r="B25" s="13" t="s">
        <v>262</v>
      </c>
      <c r="C25" s="13" t="s">
        <v>254</v>
      </c>
      <c r="D25" s="13">
        <v>1</v>
      </c>
      <c r="E25" s="13" t="s">
        <v>247</v>
      </c>
    </row>
    <row r="26" spans="1:5" x14ac:dyDescent="0.25">
      <c r="A26" s="13" t="s">
        <v>134</v>
      </c>
      <c r="B26" s="13" t="s">
        <v>263</v>
      </c>
      <c r="C26" s="13" t="s">
        <v>246</v>
      </c>
      <c r="D26" s="13">
        <v>4</v>
      </c>
      <c r="E26" s="13" t="s">
        <v>264</v>
      </c>
    </row>
    <row r="27" spans="1:5" x14ac:dyDescent="0.25">
      <c r="A27" s="13" t="s">
        <v>134</v>
      </c>
      <c r="B27" s="13" t="s">
        <v>265</v>
      </c>
      <c r="C27" s="13" t="s">
        <v>246</v>
      </c>
      <c r="D27" s="13">
        <v>4</v>
      </c>
      <c r="E27" s="13" t="s">
        <v>247</v>
      </c>
    </row>
    <row r="28" spans="1:5" x14ac:dyDescent="0.25">
      <c r="A28" s="13" t="s">
        <v>176</v>
      </c>
      <c r="B28" s="13" t="s">
        <v>266</v>
      </c>
      <c r="C28" s="13" t="s">
        <v>267</v>
      </c>
      <c r="D28" s="13">
        <v>1</v>
      </c>
      <c r="E28" s="13" t="s">
        <v>247</v>
      </c>
    </row>
    <row r="29" spans="1:5" x14ac:dyDescent="0.25">
      <c r="A29" s="13" t="s">
        <v>176</v>
      </c>
      <c r="B29" s="13" t="s">
        <v>266</v>
      </c>
      <c r="C29" s="13" t="s">
        <v>246</v>
      </c>
      <c r="D29" s="13">
        <v>1</v>
      </c>
      <c r="E29" s="13" t="s">
        <v>247</v>
      </c>
    </row>
    <row r="30" spans="1:5" x14ac:dyDescent="0.25">
      <c r="A30" s="13" t="s">
        <v>176</v>
      </c>
      <c r="B30" s="13" t="s">
        <v>268</v>
      </c>
      <c r="C30" s="13" t="s">
        <v>246</v>
      </c>
      <c r="D30" s="13">
        <v>2</v>
      </c>
      <c r="E30" s="13" t="s">
        <v>247</v>
      </c>
    </row>
    <row r="31" spans="1:5" x14ac:dyDescent="0.25">
      <c r="A31" s="13" t="s">
        <v>176</v>
      </c>
      <c r="B31" s="13" t="s">
        <v>268</v>
      </c>
      <c r="C31" s="13" t="s">
        <v>267</v>
      </c>
      <c r="D31" s="13">
        <v>2</v>
      </c>
      <c r="E31" s="13" t="s">
        <v>247</v>
      </c>
    </row>
    <row r="32" spans="1:5" x14ac:dyDescent="0.25">
      <c r="A32" s="13" t="s">
        <v>176</v>
      </c>
      <c r="B32" s="13" t="s">
        <v>268</v>
      </c>
      <c r="C32" s="13" t="s">
        <v>252</v>
      </c>
      <c r="D32" s="13">
        <v>4</v>
      </c>
      <c r="E32" s="13" t="s">
        <v>177</v>
      </c>
    </row>
    <row r="33" spans="1:5" x14ac:dyDescent="0.25">
      <c r="A33" s="13" t="s">
        <v>176</v>
      </c>
      <c r="B33" s="13" t="s">
        <v>268</v>
      </c>
      <c r="C33" s="13" t="s">
        <v>269</v>
      </c>
      <c r="D33" s="13">
        <v>1</v>
      </c>
      <c r="E33" s="13" t="s">
        <v>247</v>
      </c>
    </row>
    <row r="34" spans="1:5" x14ac:dyDescent="0.25">
      <c r="A34" s="13" t="s">
        <v>176</v>
      </c>
      <c r="B34" s="13" t="s">
        <v>270</v>
      </c>
      <c r="C34" s="13" t="s">
        <v>246</v>
      </c>
      <c r="D34" s="13">
        <v>1</v>
      </c>
      <c r="E34" s="13" t="s">
        <v>247</v>
      </c>
    </row>
    <row r="35" spans="1:5" x14ac:dyDescent="0.25">
      <c r="A35" s="13" t="s">
        <v>176</v>
      </c>
      <c r="B35" s="13" t="s">
        <v>268</v>
      </c>
      <c r="C35" s="13" t="s">
        <v>267</v>
      </c>
      <c r="D35" s="13">
        <v>2</v>
      </c>
      <c r="E35" s="13" t="s">
        <v>247</v>
      </c>
    </row>
    <row r="36" spans="1:5" x14ac:dyDescent="0.25">
      <c r="A36" s="13" t="s">
        <v>176</v>
      </c>
      <c r="B36" s="13" t="s">
        <v>268</v>
      </c>
      <c r="C36" s="13" t="s">
        <v>252</v>
      </c>
      <c r="D36" s="13">
        <v>4</v>
      </c>
      <c r="E36" s="13" t="s">
        <v>271</v>
      </c>
    </row>
    <row r="37" spans="1:5" x14ac:dyDescent="0.25">
      <c r="A37" s="13" t="s">
        <v>190</v>
      </c>
      <c r="B37" s="13" t="s">
        <v>272</v>
      </c>
      <c r="C37" s="13" t="s">
        <v>267</v>
      </c>
      <c r="D37" s="13">
        <v>6</v>
      </c>
      <c r="E37" s="13" t="s">
        <v>247</v>
      </c>
    </row>
    <row r="38" spans="1:5" x14ac:dyDescent="0.25">
      <c r="A38" s="13" t="s">
        <v>190</v>
      </c>
      <c r="B38" s="13" t="s">
        <v>272</v>
      </c>
      <c r="C38" s="13" t="s">
        <v>273</v>
      </c>
      <c r="D38" s="13">
        <v>4</v>
      </c>
      <c r="E38" s="13" t="s">
        <v>247</v>
      </c>
    </row>
    <row r="39" spans="1:5" x14ac:dyDescent="0.25">
      <c r="A39" s="13" t="s">
        <v>190</v>
      </c>
      <c r="B39" s="13" t="s">
        <v>272</v>
      </c>
      <c r="C39" s="13" t="s">
        <v>274</v>
      </c>
      <c r="D39" s="13">
        <v>2</v>
      </c>
      <c r="E39" s="13" t="s">
        <v>247</v>
      </c>
    </row>
    <row r="40" spans="1:5" x14ac:dyDescent="0.25">
      <c r="A40" s="13" t="s">
        <v>190</v>
      </c>
      <c r="B40" s="13" t="s">
        <v>272</v>
      </c>
      <c r="C40" s="13" t="s">
        <v>246</v>
      </c>
      <c r="D40" s="13">
        <v>3</v>
      </c>
      <c r="E40" s="13" t="s">
        <v>247</v>
      </c>
    </row>
    <row r="41" spans="1:5" x14ac:dyDescent="0.25">
      <c r="A41" s="13" t="s">
        <v>190</v>
      </c>
      <c r="B41" s="13" t="s">
        <v>272</v>
      </c>
      <c r="C41" s="13" t="s">
        <v>252</v>
      </c>
      <c r="D41" s="13">
        <v>1</v>
      </c>
      <c r="E41" s="13" t="s">
        <v>247</v>
      </c>
    </row>
    <row r="42" spans="1:5" x14ac:dyDescent="0.25">
      <c r="A42" s="13" t="s">
        <v>190</v>
      </c>
      <c r="B42" s="13" t="s">
        <v>275</v>
      </c>
      <c r="C42" s="13" t="s">
        <v>267</v>
      </c>
      <c r="D42" s="13">
        <v>4</v>
      </c>
      <c r="E42" s="13" t="s">
        <v>247</v>
      </c>
    </row>
    <row r="43" spans="1:5" x14ac:dyDescent="0.25">
      <c r="A43" s="13" t="s">
        <v>190</v>
      </c>
      <c r="B43" s="13" t="s">
        <v>275</v>
      </c>
      <c r="C43" s="13" t="s">
        <v>274</v>
      </c>
      <c r="D43" s="13">
        <v>4</v>
      </c>
      <c r="E43" s="13" t="s">
        <v>247</v>
      </c>
    </row>
    <row r="44" spans="1:5" x14ac:dyDescent="0.25">
      <c r="A44" s="13" t="s">
        <v>190</v>
      </c>
      <c r="B44" s="13" t="s">
        <v>275</v>
      </c>
      <c r="C44" s="13" t="s">
        <v>249</v>
      </c>
      <c r="D44" s="13">
        <v>3</v>
      </c>
      <c r="E44" s="13" t="s">
        <v>247</v>
      </c>
    </row>
    <row r="45" spans="1:5" x14ac:dyDescent="0.25">
      <c r="A45" s="13" t="s">
        <v>190</v>
      </c>
      <c r="B45" s="13" t="s">
        <v>275</v>
      </c>
      <c r="C45" s="13" t="s">
        <v>246</v>
      </c>
      <c r="D45" s="13">
        <v>4</v>
      </c>
      <c r="E45" s="13" t="s">
        <v>247</v>
      </c>
    </row>
    <row r="46" spans="1:5" x14ac:dyDescent="0.25">
      <c r="A46" s="13" t="s">
        <v>190</v>
      </c>
      <c r="B46" s="13" t="s">
        <v>276</v>
      </c>
      <c r="C46" s="13" t="s">
        <v>267</v>
      </c>
      <c r="D46" s="13">
        <v>4</v>
      </c>
      <c r="E46" s="13" t="s">
        <v>247</v>
      </c>
    </row>
    <row r="47" spans="1:5" x14ac:dyDescent="0.25">
      <c r="A47" s="13" t="s">
        <v>190</v>
      </c>
      <c r="B47" s="13" t="s">
        <v>276</v>
      </c>
      <c r="C47" s="13" t="s">
        <v>249</v>
      </c>
      <c r="D47" s="13">
        <v>5</v>
      </c>
      <c r="E47" s="13" t="s">
        <v>247</v>
      </c>
    </row>
    <row r="48" spans="1:5" x14ac:dyDescent="0.25">
      <c r="A48" s="13" t="s">
        <v>190</v>
      </c>
      <c r="B48" s="13" t="s">
        <v>276</v>
      </c>
      <c r="C48" s="13" t="s">
        <v>274</v>
      </c>
      <c r="D48" s="13">
        <v>4</v>
      </c>
      <c r="E48" s="13" t="s">
        <v>247</v>
      </c>
    </row>
    <row r="49" spans="1:5" x14ac:dyDescent="0.25">
      <c r="A49" s="13" t="s">
        <v>190</v>
      </c>
      <c r="B49" s="13" t="s">
        <v>276</v>
      </c>
      <c r="C49" s="13" t="s">
        <v>253</v>
      </c>
      <c r="D49" s="13">
        <v>2</v>
      </c>
      <c r="E49" s="13" t="s">
        <v>247</v>
      </c>
    </row>
    <row r="50" spans="1:5" x14ac:dyDescent="0.25">
      <c r="A50" s="13" t="s">
        <v>190</v>
      </c>
      <c r="B50" s="13" t="s">
        <v>276</v>
      </c>
      <c r="C50" s="13" t="s">
        <v>273</v>
      </c>
      <c r="D50" s="13">
        <v>2</v>
      </c>
      <c r="E50" s="13" t="s">
        <v>247</v>
      </c>
    </row>
    <row r="51" spans="1:5" x14ac:dyDescent="0.25">
      <c r="A51" s="13" t="s">
        <v>127</v>
      </c>
      <c r="B51" s="13" t="s">
        <v>277</v>
      </c>
      <c r="C51" s="13" t="s">
        <v>278</v>
      </c>
      <c r="D51" s="13">
        <v>1</v>
      </c>
      <c r="E51" s="13" t="s">
        <v>279</v>
      </c>
    </row>
    <row r="52" spans="1:5" x14ac:dyDescent="0.25">
      <c r="A52" s="13" t="s">
        <v>127</v>
      </c>
      <c r="B52" s="13" t="s">
        <v>277</v>
      </c>
      <c r="C52" s="13" t="s">
        <v>280</v>
      </c>
      <c r="D52" s="13">
        <v>2</v>
      </c>
      <c r="E52" s="13" t="s">
        <v>177</v>
      </c>
    </row>
    <row r="53" spans="1:5" x14ac:dyDescent="0.25">
      <c r="A53" s="13" t="s">
        <v>127</v>
      </c>
      <c r="B53" s="13" t="s">
        <v>281</v>
      </c>
      <c r="C53" s="13" t="s">
        <v>278</v>
      </c>
      <c r="D53" s="13">
        <v>4</v>
      </c>
      <c r="E53" s="13" t="s">
        <v>282</v>
      </c>
    </row>
    <row r="54" spans="1:5" x14ac:dyDescent="0.25">
      <c r="A54" s="13" t="s">
        <v>127</v>
      </c>
      <c r="B54" s="13" t="s">
        <v>283</v>
      </c>
      <c r="C54" s="13" t="s">
        <v>280</v>
      </c>
      <c r="D54" s="13">
        <v>2</v>
      </c>
      <c r="E54" s="13" t="s">
        <v>264</v>
      </c>
    </row>
    <row r="55" spans="1:5" x14ac:dyDescent="0.25">
      <c r="A55" s="13" t="s">
        <v>127</v>
      </c>
      <c r="B55" s="13" t="s">
        <v>283</v>
      </c>
      <c r="C55" s="13" t="s">
        <v>253</v>
      </c>
      <c r="D55" s="13">
        <v>1</v>
      </c>
      <c r="E55" s="13" t="s">
        <v>282</v>
      </c>
    </row>
    <row r="56" spans="1:5" x14ac:dyDescent="0.25">
      <c r="A56" s="13" t="s">
        <v>127</v>
      </c>
      <c r="B56" s="13" t="s">
        <v>283</v>
      </c>
      <c r="C56" s="13" t="s">
        <v>254</v>
      </c>
      <c r="D56" s="13">
        <v>1</v>
      </c>
      <c r="E56" s="13" t="s">
        <v>247</v>
      </c>
    </row>
    <row r="57" spans="1:5" x14ac:dyDescent="0.25">
      <c r="A57" s="13" t="s">
        <v>108</v>
      </c>
      <c r="B57" s="13" t="s">
        <v>284</v>
      </c>
      <c r="C57" s="13" t="s">
        <v>246</v>
      </c>
      <c r="D57" s="13">
        <v>1</v>
      </c>
      <c r="E57" s="13" t="s">
        <v>264</v>
      </c>
    </row>
    <row r="58" spans="1:5" x14ac:dyDescent="0.25">
      <c r="A58" s="13" t="s">
        <v>108</v>
      </c>
      <c r="B58" s="13" t="s">
        <v>285</v>
      </c>
      <c r="C58" s="13" t="s">
        <v>246</v>
      </c>
      <c r="D58" s="13">
        <v>4</v>
      </c>
      <c r="E58" s="13" t="s">
        <v>271</v>
      </c>
    </row>
    <row r="59" spans="1:5" x14ac:dyDescent="0.25">
      <c r="A59" s="13" t="s">
        <v>108</v>
      </c>
      <c r="B59" s="13" t="s">
        <v>285</v>
      </c>
      <c r="C59" s="13" t="s">
        <v>280</v>
      </c>
      <c r="D59" s="13">
        <v>1</v>
      </c>
      <c r="E59" s="13" t="s">
        <v>177</v>
      </c>
    </row>
    <row r="60" spans="1:5" x14ac:dyDescent="0.25">
      <c r="A60" s="13" t="s">
        <v>108</v>
      </c>
      <c r="B60" s="13" t="s">
        <v>285</v>
      </c>
      <c r="C60" s="13" t="s">
        <v>273</v>
      </c>
      <c r="D60" s="13">
        <v>3</v>
      </c>
      <c r="E60" s="13" t="s">
        <v>247</v>
      </c>
    </row>
    <row r="61" spans="1:5" x14ac:dyDescent="0.25">
      <c r="A61" s="13" t="s">
        <v>108</v>
      </c>
      <c r="B61" s="13" t="s">
        <v>286</v>
      </c>
      <c r="C61" s="13" t="s">
        <v>246</v>
      </c>
      <c r="D61" s="13">
        <v>3</v>
      </c>
      <c r="E61" s="13" t="s">
        <v>177</v>
      </c>
    </row>
    <row r="62" spans="1:5" x14ac:dyDescent="0.25">
      <c r="A62" s="13" t="s">
        <v>225</v>
      </c>
      <c r="B62" s="13" t="s">
        <v>287</v>
      </c>
      <c r="C62" s="13" t="s">
        <v>246</v>
      </c>
      <c r="D62" s="13">
        <v>3</v>
      </c>
      <c r="E62" s="13" t="s">
        <v>279</v>
      </c>
    </row>
    <row r="63" spans="1:5" x14ac:dyDescent="0.25">
      <c r="A63" s="13" t="s">
        <v>225</v>
      </c>
      <c r="B63" s="13" t="s">
        <v>288</v>
      </c>
      <c r="C63" s="13" t="s">
        <v>246</v>
      </c>
      <c r="D63" s="13">
        <v>4</v>
      </c>
      <c r="E63" s="13" t="s">
        <v>279</v>
      </c>
    </row>
    <row r="64" spans="1:5" x14ac:dyDescent="0.25">
      <c r="A64" s="13" t="s">
        <v>212</v>
      </c>
      <c r="B64" s="13" t="s">
        <v>289</v>
      </c>
      <c r="C64" s="13" t="s">
        <v>246</v>
      </c>
      <c r="D64" s="13">
        <v>1</v>
      </c>
      <c r="E64" s="13" t="s">
        <v>247</v>
      </c>
    </row>
    <row r="65" spans="1:5" x14ac:dyDescent="0.25">
      <c r="A65" s="13" t="s">
        <v>212</v>
      </c>
      <c r="B65" s="13" t="s">
        <v>290</v>
      </c>
      <c r="C65" s="13" t="s">
        <v>246</v>
      </c>
      <c r="D65" s="13">
        <v>1</v>
      </c>
      <c r="E65" s="13" t="s">
        <v>177</v>
      </c>
    </row>
    <row r="66" spans="1:5" x14ac:dyDescent="0.25">
      <c r="A66" s="13" t="s">
        <v>212</v>
      </c>
      <c r="B66" s="13" t="s">
        <v>290</v>
      </c>
      <c r="C66" s="13" t="s">
        <v>245</v>
      </c>
      <c r="D66" s="13">
        <v>1</v>
      </c>
      <c r="E66" s="13" t="s">
        <v>279</v>
      </c>
    </row>
    <row r="67" spans="1:5" x14ac:dyDescent="0.25">
      <c r="A67" s="13" t="s">
        <v>128</v>
      </c>
      <c r="B67" s="13" t="s">
        <v>291</v>
      </c>
      <c r="C67" s="13" t="s">
        <v>273</v>
      </c>
      <c r="D67" s="13">
        <v>4</v>
      </c>
      <c r="E67" s="13" t="s">
        <v>264</v>
      </c>
    </row>
    <row r="68" spans="1:5" x14ac:dyDescent="0.25">
      <c r="A68" s="13" t="s">
        <v>128</v>
      </c>
      <c r="B68" s="13" t="s">
        <v>291</v>
      </c>
      <c r="C68" s="13" t="s">
        <v>248</v>
      </c>
      <c r="D68" s="13">
        <v>4</v>
      </c>
      <c r="E68" s="13" t="s">
        <v>247</v>
      </c>
    </row>
    <row r="69" spans="1:5" x14ac:dyDescent="0.25">
      <c r="A69" s="13" t="s">
        <v>128</v>
      </c>
      <c r="B69" s="13" t="s">
        <v>291</v>
      </c>
      <c r="C69" s="13" t="s">
        <v>252</v>
      </c>
      <c r="D69" s="13">
        <v>2</v>
      </c>
      <c r="E69" s="13" t="s">
        <v>271</v>
      </c>
    </row>
    <row r="70" spans="1:5" x14ac:dyDescent="0.25">
      <c r="A70" s="13" t="s">
        <v>128</v>
      </c>
      <c r="B70" s="13" t="s">
        <v>292</v>
      </c>
      <c r="C70" s="13" t="s">
        <v>248</v>
      </c>
      <c r="D70" s="13">
        <v>5</v>
      </c>
      <c r="E70" s="13" t="s">
        <v>247</v>
      </c>
    </row>
    <row r="71" spans="1:5" x14ac:dyDescent="0.25">
      <c r="A71" s="13" t="s">
        <v>128</v>
      </c>
      <c r="B71" s="13" t="s">
        <v>292</v>
      </c>
      <c r="C71" s="13" t="s">
        <v>273</v>
      </c>
      <c r="D71" s="13">
        <v>3</v>
      </c>
      <c r="E71" s="13" t="s">
        <v>247</v>
      </c>
    </row>
    <row r="72" spans="1:5" x14ac:dyDescent="0.25">
      <c r="A72" s="13" t="s">
        <v>128</v>
      </c>
      <c r="B72" s="13" t="s">
        <v>293</v>
      </c>
      <c r="C72" s="13" t="s">
        <v>273</v>
      </c>
      <c r="D72" s="13">
        <v>3</v>
      </c>
      <c r="E72" s="13" t="s">
        <v>247</v>
      </c>
    </row>
    <row r="73" spans="1:5" x14ac:dyDescent="0.25">
      <c r="A73" s="13" t="s">
        <v>128</v>
      </c>
      <c r="B73" s="13" t="s">
        <v>293</v>
      </c>
      <c r="C73" s="13" t="s">
        <v>248</v>
      </c>
      <c r="D73" s="13">
        <v>2</v>
      </c>
      <c r="E73" s="13" t="s">
        <v>282</v>
      </c>
    </row>
    <row r="74" spans="1:5" x14ac:dyDescent="0.25">
      <c r="A74" s="13" t="s">
        <v>128</v>
      </c>
      <c r="B74" s="13" t="s">
        <v>293</v>
      </c>
      <c r="C74" s="13" t="s">
        <v>257</v>
      </c>
      <c r="D74" s="13">
        <v>1</v>
      </c>
      <c r="E74" s="13" t="s">
        <v>279</v>
      </c>
    </row>
    <row r="75" spans="1:5" x14ac:dyDescent="0.25">
      <c r="A75" s="13" t="s">
        <v>130</v>
      </c>
      <c r="B75" s="13" t="s">
        <v>294</v>
      </c>
      <c r="C75" s="13" t="s">
        <v>246</v>
      </c>
      <c r="D75" s="13">
        <v>5</v>
      </c>
      <c r="E75" s="13" t="s">
        <v>247</v>
      </c>
    </row>
    <row r="76" spans="1:5" x14ac:dyDescent="0.25">
      <c r="A76" s="13" t="s">
        <v>130</v>
      </c>
      <c r="B76" s="13" t="s">
        <v>295</v>
      </c>
      <c r="C76" s="13" t="s">
        <v>246</v>
      </c>
      <c r="D76" s="13">
        <v>3</v>
      </c>
      <c r="E76" s="13" t="s">
        <v>177</v>
      </c>
    </row>
    <row r="77" spans="1:5" x14ac:dyDescent="0.25">
      <c r="A77" s="13" t="s">
        <v>130</v>
      </c>
      <c r="B77" s="13" t="s">
        <v>295</v>
      </c>
      <c r="C77" s="13" t="s">
        <v>253</v>
      </c>
      <c r="D77" s="13">
        <v>2</v>
      </c>
      <c r="E77" s="13" t="s">
        <v>282</v>
      </c>
    </row>
    <row r="78" spans="1:5" x14ac:dyDescent="0.25">
      <c r="A78" s="13" t="s">
        <v>130</v>
      </c>
      <c r="B78" s="13" t="s">
        <v>295</v>
      </c>
      <c r="C78" s="13" t="s">
        <v>252</v>
      </c>
      <c r="D78" s="13">
        <v>1</v>
      </c>
      <c r="E78" s="13" t="s">
        <v>279</v>
      </c>
    </row>
    <row r="79" spans="1:5" x14ac:dyDescent="0.25">
      <c r="A79" s="13" t="s">
        <v>130</v>
      </c>
      <c r="B79" s="13" t="s">
        <v>296</v>
      </c>
      <c r="C79" s="13" t="s">
        <v>246</v>
      </c>
      <c r="D79" s="13">
        <v>2</v>
      </c>
      <c r="E79" s="13" t="s">
        <v>177</v>
      </c>
    </row>
    <row r="80" spans="1:5" x14ac:dyDescent="0.25">
      <c r="A80" s="13" t="s">
        <v>133</v>
      </c>
      <c r="B80" s="13" t="s">
        <v>297</v>
      </c>
      <c r="C80" s="13" t="s">
        <v>249</v>
      </c>
      <c r="D80" s="13">
        <v>1</v>
      </c>
      <c r="E80" s="13" t="s">
        <v>279</v>
      </c>
    </row>
    <row r="81" spans="1:5" x14ac:dyDescent="0.25">
      <c r="A81" s="13" t="s">
        <v>133</v>
      </c>
      <c r="B81" s="13" t="s">
        <v>298</v>
      </c>
      <c r="C81" s="13" t="s">
        <v>278</v>
      </c>
      <c r="D81" s="13">
        <v>1</v>
      </c>
      <c r="E81" s="13" t="s">
        <v>279</v>
      </c>
    </row>
    <row r="82" spans="1:5" x14ac:dyDescent="0.25">
      <c r="A82" s="13" t="s">
        <v>133</v>
      </c>
      <c r="B82" s="13" t="s">
        <v>298</v>
      </c>
      <c r="C82" s="13" t="s">
        <v>249</v>
      </c>
      <c r="D82" s="13">
        <v>1</v>
      </c>
      <c r="E82" s="13" t="s">
        <v>279</v>
      </c>
    </row>
    <row r="83" spans="1:5" x14ac:dyDescent="0.25">
      <c r="A83" s="13" t="s">
        <v>133</v>
      </c>
      <c r="B83" s="13" t="s">
        <v>299</v>
      </c>
      <c r="C83" s="13" t="s">
        <v>278</v>
      </c>
      <c r="D83" s="13">
        <v>1</v>
      </c>
      <c r="E83" s="13" t="s">
        <v>279</v>
      </c>
    </row>
    <row r="84" spans="1:5" x14ac:dyDescent="0.25">
      <c r="A84" s="13" t="s">
        <v>135</v>
      </c>
      <c r="B84" s="13" t="s">
        <v>300</v>
      </c>
      <c r="C84" s="13" t="s">
        <v>249</v>
      </c>
      <c r="D84" s="13">
        <v>4</v>
      </c>
      <c r="E84" s="13" t="s">
        <v>271</v>
      </c>
    </row>
    <row r="85" spans="1:5" x14ac:dyDescent="0.25">
      <c r="A85" s="13" t="s">
        <v>135</v>
      </c>
      <c r="B85" s="13" t="s">
        <v>300</v>
      </c>
      <c r="C85" s="13" t="s">
        <v>246</v>
      </c>
      <c r="D85" s="13">
        <v>3</v>
      </c>
      <c r="E85" s="13" t="s">
        <v>271</v>
      </c>
    </row>
    <row r="86" spans="1:5" x14ac:dyDescent="0.25">
      <c r="A86" s="13" t="s">
        <v>135</v>
      </c>
      <c r="B86" s="13" t="s">
        <v>301</v>
      </c>
      <c r="C86" s="13" t="s">
        <v>249</v>
      </c>
      <c r="D86" s="13">
        <v>6</v>
      </c>
      <c r="E86" s="13" t="s">
        <v>271</v>
      </c>
    </row>
    <row r="87" spans="1:5" x14ac:dyDescent="0.25">
      <c r="A87" s="13" t="s">
        <v>135</v>
      </c>
      <c r="B87" s="13" t="s">
        <v>302</v>
      </c>
      <c r="C87" s="13" t="s">
        <v>246</v>
      </c>
      <c r="D87" s="13">
        <v>4</v>
      </c>
      <c r="E87" s="13" t="s">
        <v>247</v>
      </c>
    </row>
    <row r="88" spans="1:5" x14ac:dyDescent="0.25">
      <c r="A88" s="13" t="s">
        <v>135</v>
      </c>
      <c r="B88" s="13" t="s">
        <v>302</v>
      </c>
      <c r="C88" s="13" t="s">
        <v>249</v>
      </c>
      <c r="D88" s="13">
        <v>4</v>
      </c>
      <c r="E88" s="13" t="s">
        <v>264</v>
      </c>
    </row>
    <row r="89" spans="1:5" x14ac:dyDescent="0.25">
      <c r="A89" s="13" t="s">
        <v>143</v>
      </c>
      <c r="B89" s="13" t="s">
        <v>303</v>
      </c>
      <c r="C89" s="13" t="s">
        <v>246</v>
      </c>
      <c r="D89" s="13">
        <v>4</v>
      </c>
      <c r="E89" s="13" t="s">
        <v>247</v>
      </c>
    </row>
    <row r="90" spans="1:5" x14ac:dyDescent="0.25">
      <c r="A90" s="13" t="s">
        <v>143</v>
      </c>
      <c r="B90" s="13" t="s">
        <v>304</v>
      </c>
      <c r="C90" s="13" t="s">
        <v>246</v>
      </c>
      <c r="D90" s="13">
        <v>3</v>
      </c>
      <c r="E90" s="13" t="s">
        <v>264</v>
      </c>
    </row>
    <row r="91" spans="1:5" x14ac:dyDescent="0.25">
      <c r="A91" s="13" t="s">
        <v>143</v>
      </c>
      <c r="B91" s="13" t="s">
        <v>305</v>
      </c>
      <c r="C91" s="13" t="s">
        <v>246</v>
      </c>
      <c r="D91" s="13">
        <v>4</v>
      </c>
      <c r="E91" s="13" t="s">
        <v>177</v>
      </c>
    </row>
    <row r="92" spans="1:5" x14ac:dyDescent="0.25">
      <c r="A92" s="13" t="s">
        <v>136</v>
      </c>
      <c r="B92" s="13" t="s">
        <v>306</v>
      </c>
      <c r="C92" s="13" t="s">
        <v>246</v>
      </c>
      <c r="D92" s="13">
        <v>4</v>
      </c>
      <c r="E92" s="13" t="s">
        <v>247</v>
      </c>
    </row>
    <row r="93" spans="1:5" x14ac:dyDescent="0.25">
      <c r="A93" s="13" t="s">
        <v>136</v>
      </c>
      <c r="B93" s="13" t="s">
        <v>306</v>
      </c>
      <c r="C93" s="13" t="s">
        <v>249</v>
      </c>
      <c r="D93" s="13">
        <v>3</v>
      </c>
      <c r="E93" s="13" t="s">
        <v>247</v>
      </c>
    </row>
    <row r="94" spans="1:5" x14ac:dyDescent="0.25">
      <c r="A94" s="13" t="s">
        <v>136</v>
      </c>
      <c r="B94" s="13" t="s">
        <v>307</v>
      </c>
      <c r="C94" s="13" t="s">
        <v>246</v>
      </c>
      <c r="D94" s="13">
        <v>4</v>
      </c>
      <c r="E94" s="13" t="s">
        <v>247</v>
      </c>
    </row>
    <row r="95" spans="1:5" x14ac:dyDescent="0.25">
      <c r="A95" s="13" t="s">
        <v>136</v>
      </c>
      <c r="B95" s="13" t="s">
        <v>307</v>
      </c>
      <c r="C95" s="13" t="s">
        <v>308</v>
      </c>
      <c r="D95" s="13">
        <v>1</v>
      </c>
      <c r="E95" s="13" t="s">
        <v>247</v>
      </c>
    </row>
    <row r="96" spans="1:5" x14ac:dyDescent="0.25">
      <c r="A96" s="13" t="s">
        <v>136</v>
      </c>
      <c r="B96" s="13" t="s">
        <v>309</v>
      </c>
      <c r="C96" s="13" t="s">
        <v>246</v>
      </c>
      <c r="D96" s="13">
        <v>3</v>
      </c>
      <c r="E96" s="13" t="s">
        <v>247</v>
      </c>
    </row>
    <row r="97" spans="1:5" x14ac:dyDescent="0.25">
      <c r="A97" s="13" t="s">
        <v>136</v>
      </c>
      <c r="B97" s="13" t="s">
        <v>309</v>
      </c>
      <c r="C97" s="13" t="s">
        <v>308</v>
      </c>
      <c r="D97" s="13">
        <v>2</v>
      </c>
      <c r="E97" s="13" t="s">
        <v>247</v>
      </c>
    </row>
    <row r="98" spans="1:5" x14ac:dyDescent="0.25">
      <c r="A98" s="13" t="s">
        <v>151</v>
      </c>
      <c r="B98" s="13" t="s">
        <v>310</v>
      </c>
      <c r="C98" s="13" t="s">
        <v>246</v>
      </c>
      <c r="D98" s="13">
        <v>3</v>
      </c>
      <c r="E98" s="13" t="s">
        <v>247</v>
      </c>
    </row>
    <row r="99" spans="1:5" x14ac:dyDescent="0.25">
      <c r="A99" s="13" t="s">
        <v>151</v>
      </c>
      <c r="B99" s="13" t="s">
        <v>311</v>
      </c>
      <c r="C99" s="13" t="s">
        <v>246</v>
      </c>
      <c r="D99" s="13">
        <v>2</v>
      </c>
      <c r="E99" s="13" t="s">
        <v>247</v>
      </c>
    </row>
    <row r="100" spans="1:5" x14ac:dyDescent="0.25">
      <c r="A100" s="13" t="s">
        <v>100</v>
      </c>
      <c r="B100" s="13" t="s">
        <v>312</v>
      </c>
      <c r="C100" s="13" t="s">
        <v>249</v>
      </c>
      <c r="D100" s="13">
        <v>3</v>
      </c>
      <c r="E100" s="13" t="s">
        <v>247</v>
      </c>
    </row>
    <row r="101" spans="1:5" x14ac:dyDescent="0.25">
      <c r="A101" s="13" t="s">
        <v>100</v>
      </c>
      <c r="B101" s="13" t="s">
        <v>312</v>
      </c>
      <c r="C101" s="13" t="s">
        <v>246</v>
      </c>
      <c r="D101" s="13">
        <v>1</v>
      </c>
      <c r="E101" s="13" t="s">
        <v>247</v>
      </c>
    </row>
    <row r="102" spans="1:5" x14ac:dyDescent="0.25">
      <c r="A102" s="13" t="s">
        <v>100</v>
      </c>
      <c r="B102" s="13" t="s">
        <v>313</v>
      </c>
      <c r="C102" s="13" t="s">
        <v>249</v>
      </c>
      <c r="D102" s="13">
        <v>1</v>
      </c>
      <c r="E102" s="13" t="s">
        <v>247</v>
      </c>
    </row>
    <row r="103" spans="1:5" x14ac:dyDescent="0.25">
      <c r="A103" s="13" t="s">
        <v>100</v>
      </c>
      <c r="B103" s="13" t="s">
        <v>313</v>
      </c>
      <c r="C103" s="13" t="s">
        <v>246</v>
      </c>
      <c r="D103" s="13">
        <v>1</v>
      </c>
      <c r="E103" s="13" t="s">
        <v>247</v>
      </c>
    </row>
    <row r="104" spans="1:5" x14ac:dyDescent="0.25">
      <c r="A104" s="13" t="s">
        <v>100</v>
      </c>
      <c r="B104" s="13" t="s">
        <v>313</v>
      </c>
      <c r="C104" s="13" t="s">
        <v>253</v>
      </c>
      <c r="D104" s="13">
        <v>1</v>
      </c>
      <c r="E104" s="13" t="s">
        <v>177</v>
      </c>
    </row>
    <row r="105" spans="1:5" x14ac:dyDescent="0.25">
      <c r="A105" s="13" t="s">
        <v>144</v>
      </c>
      <c r="B105" s="13" t="s">
        <v>314</v>
      </c>
      <c r="C105" s="13" t="s">
        <v>249</v>
      </c>
      <c r="D105" s="13">
        <v>3</v>
      </c>
      <c r="E105" s="13" t="s">
        <v>264</v>
      </c>
    </row>
    <row r="106" spans="1:5" x14ac:dyDescent="0.25">
      <c r="A106" s="13" t="s">
        <v>144</v>
      </c>
      <c r="B106" s="13" t="s">
        <v>314</v>
      </c>
      <c r="C106" s="13" t="s">
        <v>246</v>
      </c>
      <c r="D106" s="13">
        <v>1</v>
      </c>
      <c r="E106" s="13" t="s">
        <v>247</v>
      </c>
    </row>
    <row r="107" spans="1:5" x14ac:dyDescent="0.25">
      <c r="A107" s="13" t="s">
        <v>141</v>
      </c>
      <c r="B107" s="13" t="s">
        <v>315</v>
      </c>
      <c r="C107" s="13" t="s">
        <v>278</v>
      </c>
      <c r="D107" s="13">
        <v>3</v>
      </c>
      <c r="E107" s="13" t="s">
        <v>279</v>
      </c>
    </row>
    <row r="108" spans="1:5" x14ac:dyDescent="0.25">
      <c r="A108" s="13" t="s">
        <v>141</v>
      </c>
      <c r="B108" s="13" t="s">
        <v>315</v>
      </c>
      <c r="C108" s="13" t="s">
        <v>316</v>
      </c>
      <c r="D108" s="13">
        <v>1</v>
      </c>
      <c r="E108" s="13" t="s">
        <v>177</v>
      </c>
    </row>
    <row r="109" spans="1:5" x14ac:dyDescent="0.25">
      <c r="A109" s="13" t="s">
        <v>141</v>
      </c>
      <c r="B109" s="13" t="s">
        <v>317</v>
      </c>
      <c r="C109" s="13" t="s">
        <v>278</v>
      </c>
      <c r="D109" s="13">
        <v>5</v>
      </c>
      <c r="E109" s="13" t="s">
        <v>282</v>
      </c>
    </row>
    <row r="110" spans="1:5" x14ac:dyDescent="0.25">
      <c r="A110" s="13" t="s">
        <v>141</v>
      </c>
      <c r="B110" s="13" t="s">
        <v>317</v>
      </c>
      <c r="C110" s="13" t="s">
        <v>318</v>
      </c>
      <c r="D110" s="13">
        <v>4</v>
      </c>
      <c r="E110" s="13" t="s">
        <v>247</v>
      </c>
    </row>
    <row r="111" spans="1:5" x14ac:dyDescent="0.25">
      <c r="A111" s="13" t="s">
        <v>141</v>
      </c>
      <c r="B111" s="13" t="s">
        <v>317</v>
      </c>
      <c r="C111" s="13" t="s">
        <v>319</v>
      </c>
      <c r="D111" s="13">
        <v>1</v>
      </c>
      <c r="E111" s="13" t="s">
        <v>282</v>
      </c>
    </row>
    <row r="112" spans="1:5" x14ac:dyDescent="0.25">
      <c r="A112" s="13" t="s">
        <v>141</v>
      </c>
      <c r="B112" s="13" t="s">
        <v>317</v>
      </c>
      <c r="C112" s="13" t="s">
        <v>253</v>
      </c>
      <c r="D112" s="13">
        <v>2</v>
      </c>
      <c r="E112" s="13" t="s">
        <v>177</v>
      </c>
    </row>
    <row r="113" spans="1:5" x14ac:dyDescent="0.25">
      <c r="A113" s="13" t="s">
        <v>141</v>
      </c>
      <c r="B113" s="13" t="s">
        <v>317</v>
      </c>
      <c r="C113" s="13" t="s">
        <v>252</v>
      </c>
      <c r="D113" s="13">
        <v>1</v>
      </c>
      <c r="E113" s="13" t="s">
        <v>279</v>
      </c>
    </row>
    <row r="114" spans="1:5" x14ac:dyDescent="0.25">
      <c r="A114" s="13" t="s">
        <v>141</v>
      </c>
      <c r="B114" s="13" t="s">
        <v>320</v>
      </c>
      <c r="C114" s="13" t="s">
        <v>252</v>
      </c>
      <c r="D114" s="13">
        <v>4</v>
      </c>
      <c r="E114" s="13" t="s">
        <v>282</v>
      </c>
    </row>
    <row r="115" spans="1:5" x14ac:dyDescent="0.25">
      <c r="A115" s="13" t="s">
        <v>141</v>
      </c>
      <c r="B115" s="13" t="s">
        <v>320</v>
      </c>
      <c r="C115" s="13" t="s">
        <v>280</v>
      </c>
      <c r="D115" s="13">
        <v>3</v>
      </c>
      <c r="E115" s="13" t="s">
        <v>177</v>
      </c>
    </row>
    <row r="116" spans="1:5" x14ac:dyDescent="0.25">
      <c r="A116" s="13" t="s">
        <v>141</v>
      </c>
      <c r="B116" s="13" t="s">
        <v>320</v>
      </c>
      <c r="C116" s="13" t="s">
        <v>319</v>
      </c>
      <c r="D116" s="13">
        <v>1</v>
      </c>
      <c r="E116" s="13" t="s">
        <v>282</v>
      </c>
    </row>
    <row r="117" spans="1:5" x14ac:dyDescent="0.25">
      <c r="A117" s="13" t="s">
        <v>141</v>
      </c>
      <c r="B117" s="13" t="s">
        <v>320</v>
      </c>
      <c r="C117" s="13" t="s">
        <v>316</v>
      </c>
      <c r="D117" s="13">
        <v>1</v>
      </c>
      <c r="E117" s="13" t="s">
        <v>247</v>
      </c>
    </row>
    <row r="118" spans="1:5" x14ac:dyDescent="0.25">
      <c r="A118" s="13" t="s">
        <v>141</v>
      </c>
      <c r="B118" s="13" t="s">
        <v>320</v>
      </c>
      <c r="C118" s="13" t="s">
        <v>278</v>
      </c>
      <c r="D118" s="13">
        <v>1</v>
      </c>
      <c r="E118" s="13" t="s">
        <v>279</v>
      </c>
    </row>
    <row r="119" spans="1:5" x14ac:dyDescent="0.25">
      <c r="A119" s="13" t="s">
        <v>141</v>
      </c>
      <c r="B119" s="13" t="s">
        <v>320</v>
      </c>
      <c r="C119" s="13" t="s">
        <v>321</v>
      </c>
      <c r="D119" s="13">
        <v>1</v>
      </c>
      <c r="E119" s="13" t="s">
        <v>279</v>
      </c>
    </row>
    <row r="120" spans="1:5" s="19" customFormat="1" x14ac:dyDescent="0.25">
      <c r="A120" s="18" t="s">
        <v>141</v>
      </c>
      <c r="B120" s="18" t="s">
        <v>320</v>
      </c>
      <c r="C120" s="18" t="s">
        <v>322</v>
      </c>
      <c r="D120" s="18">
        <v>1</v>
      </c>
      <c r="E120" s="18" t="s">
        <v>271</v>
      </c>
    </row>
    <row r="121" spans="1:5" x14ac:dyDescent="0.25">
      <c r="A121" s="13" t="s">
        <v>137</v>
      </c>
      <c r="B121" s="13" t="s">
        <v>323</v>
      </c>
      <c r="C121" s="13" t="s">
        <v>252</v>
      </c>
      <c r="D121" s="13">
        <v>3</v>
      </c>
      <c r="E121" s="13" t="s">
        <v>279</v>
      </c>
    </row>
    <row r="122" spans="1:5" x14ac:dyDescent="0.25">
      <c r="A122" s="13" t="s">
        <v>137</v>
      </c>
      <c r="B122" s="13" t="s">
        <v>323</v>
      </c>
      <c r="C122" s="13" t="s">
        <v>248</v>
      </c>
      <c r="D122" s="13">
        <v>1</v>
      </c>
      <c r="E122" s="13" t="s">
        <v>247</v>
      </c>
    </row>
    <row r="123" spans="1:5" x14ac:dyDescent="0.25">
      <c r="A123" s="13" t="s">
        <v>137</v>
      </c>
      <c r="B123" s="13" t="s">
        <v>324</v>
      </c>
      <c r="C123" s="13" t="s">
        <v>252</v>
      </c>
      <c r="D123" s="13">
        <v>4</v>
      </c>
      <c r="E123" s="13" t="s">
        <v>282</v>
      </c>
    </row>
    <row r="124" spans="1:5" x14ac:dyDescent="0.25">
      <c r="A124" s="13" t="s">
        <v>137</v>
      </c>
      <c r="B124" s="13" t="s">
        <v>324</v>
      </c>
      <c r="C124" s="13" t="s">
        <v>325</v>
      </c>
      <c r="D124" s="13">
        <v>1</v>
      </c>
      <c r="E124" s="13" t="s">
        <v>279</v>
      </c>
    </row>
    <row r="125" spans="1:5" x14ac:dyDescent="0.25">
      <c r="A125" s="13" t="s">
        <v>137</v>
      </c>
      <c r="B125" s="13" t="s">
        <v>326</v>
      </c>
      <c r="C125" s="13" t="s">
        <v>252</v>
      </c>
      <c r="D125" s="13">
        <v>4</v>
      </c>
      <c r="E125" s="13" t="s">
        <v>282</v>
      </c>
    </row>
    <row r="126" spans="1:5" x14ac:dyDescent="0.25">
      <c r="A126" s="13" t="s">
        <v>137</v>
      </c>
      <c r="B126" s="13" t="s">
        <v>326</v>
      </c>
      <c r="C126" s="13" t="s">
        <v>249</v>
      </c>
      <c r="D126" s="13">
        <v>1</v>
      </c>
      <c r="E126" s="13" t="s">
        <v>177</v>
      </c>
    </row>
    <row r="127" spans="1:5" x14ac:dyDescent="0.25">
      <c r="A127" s="13" t="s">
        <v>137</v>
      </c>
      <c r="B127" s="13" t="s">
        <v>326</v>
      </c>
      <c r="C127" s="13" t="s">
        <v>269</v>
      </c>
      <c r="D127" s="13">
        <v>2</v>
      </c>
      <c r="E127" s="13" t="s">
        <v>282</v>
      </c>
    </row>
    <row r="128" spans="1:5" x14ac:dyDescent="0.25">
      <c r="A128" s="13" t="s">
        <v>137</v>
      </c>
      <c r="B128" s="13" t="s">
        <v>326</v>
      </c>
      <c r="C128" s="13" t="s">
        <v>245</v>
      </c>
      <c r="D128" s="13">
        <v>1</v>
      </c>
      <c r="E128" s="13" t="s">
        <v>247</v>
      </c>
    </row>
    <row r="129" spans="1:5" x14ac:dyDescent="0.25">
      <c r="A129" s="13" t="s">
        <v>140</v>
      </c>
      <c r="B129" s="13" t="s">
        <v>327</v>
      </c>
      <c r="C129" s="13" t="s">
        <v>249</v>
      </c>
      <c r="D129" s="13">
        <v>5</v>
      </c>
      <c r="E129" s="13" t="s">
        <v>264</v>
      </c>
    </row>
    <row r="130" spans="1:5" x14ac:dyDescent="0.25">
      <c r="A130" s="13" t="s">
        <v>140</v>
      </c>
      <c r="B130" s="13" t="s">
        <v>327</v>
      </c>
      <c r="C130" s="13" t="s">
        <v>246</v>
      </c>
      <c r="D130" s="13">
        <v>2</v>
      </c>
      <c r="E130" s="13" t="s">
        <v>247</v>
      </c>
    </row>
    <row r="131" spans="1:5" x14ac:dyDescent="0.25">
      <c r="A131" s="13" t="s">
        <v>140</v>
      </c>
      <c r="B131" s="13" t="s">
        <v>328</v>
      </c>
      <c r="C131" s="13" t="s">
        <v>249</v>
      </c>
      <c r="D131" s="13">
        <v>4</v>
      </c>
      <c r="E131" s="13" t="s">
        <v>264</v>
      </c>
    </row>
    <row r="132" spans="1:5" x14ac:dyDescent="0.25">
      <c r="A132" s="13" t="s">
        <v>140</v>
      </c>
      <c r="B132" s="13" t="s">
        <v>328</v>
      </c>
      <c r="C132" s="13" t="s">
        <v>246</v>
      </c>
      <c r="D132" s="13">
        <v>1</v>
      </c>
      <c r="E132" s="13" t="s">
        <v>177</v>
      </c>
    </row>
    <row r="133" spans="1:5" x14ac:dyDescent="0.25">
      <c r="A133" s="13" t="s">
        <v>140</v>
      </c>
      <c r="B133" s="13" t="s">
        <v>328</v>
      </c>
      <c r="C133" s="13" t="s">
        <v>278</v>
      </c>
      <c r="D133" s="13">
        <v>1</v>
      </c>
      <c r="E133" s="13" t="s">
        <v>247</v>
      </c>
    </row>
    <row r="134" spans="1:5" x14ac:dyDescent="0.25">
      <c r="A134" s="13" t="s">
        <v>140</v>
      </c>
      <c r="B134" s="13" t="s">
        <v>329</v>
      </c>
      <c r="C134" s="13" t="s">
        <v>249</v>
      </c>
      <c r="D134" s="13">
        <v>5</v>
      </c>
      <c r="E134" s="13" t="s">
        <v>271</v>
      </c>
    </row>
    <row r="135" spans="1:5" x14ac:dyDescent="0.25">
      <c r="A135" s="13" t="s">
        <v>140</v>
      </c>
      <c r="B135" s="13" t="s">
        <v>329</v>
      </c>
      <c r="C135" s="13" t="s">
        <v>278</v>
      </c>
      <c r="D135" s="13">
        <v>2</v>
      </c>
      <c r="E135" s="13" t="s">
        <v>279</v>
      </c>
    </row>
    <row r="136" spans="1:5" x14ac:dyDescent="0.25">
      <c r="A136" s="13" t="s">
        <v>145</v>
      </c>
      <c r="B136" s="13" t="s">
        <v>330</v>
      </c>
      <c r="C136" s="13" t="s">
        <v>249</v>
      </c>
      <c r="D136" s="13">
        <v>2</v>
      </c>
      <c r="E136" s="13" t="s">
        <v>271</v>
      </c>
    </row>
    <row r="137" spans="1:5" x14ac:dyDescent="0.25">
      <c r="A137" s="13" t="s">
        <v>145</v>
      </c>
      <c r="B137" s="13" t="s">
        <v>330</v>
      </c>
      <c r="C137" s="13" t="s">
        <v>269</v>
      </c>
      <c r="D137" s="13">
        <v>2</v>
      </c>
      <c r="E137" s="13" t="s">
        <v>264</v>
      </c>
    </row>
    <row r="138" spans="1:5" x14ac:dyDescent="0.25">
      <c r="A138" s="13" t="s">
        <v>145</v>
      </c>
      <c r="B138" s="13" t="s">
        <v>330</v>
      </c>
      <c r="C138" s="13" t="s">
        <v>246</v>
      </c>
      <c r="D138" s="13">
        <v>2</v>
      </c>
      <c r="E138" s="13" t="s">
        <v>177</v>
      </c>
    </row>
    <row r="139" spans="1:5" x14ac:dyDescent="0.25">
      <c r="A139" s="13" t="s">
        <v>145</v>
      </c>
      <c r="B139" s="13" t="s">
        <v>330</v>
      </c>
      <c r="C139" s="13" t="s">
        <v>325</v>
      </c>
      <c r="D139" s="13">
        <v>1</v>
      </c>
      <c r="E139" s="13" t="s">
        <v>271</v>
      </c>
    </row>
    <row r="140" spans="1:5" x14ac:dyDescent="0.25">
      <c r="A140" s="13" t="s">
        <v>145</v>
      </c>
      <c r="B140" s="13" t="s">
        <v>330</v>
      </c>
      <c r="C140" s="13" t="s">
        <v>280</v>
      </c>
      <c r="D140" s="13">
        <v>1</v>
      </c>
      <c r="E140" s="13" t="s">
        <v>247</v>
      </c>
    </row>
    <row r="141" spans="1:5" x14ac:dyDescent="0.25">
      <c r="A141" s="13" t="s">
        <v>145</v>
      </c>
      <c r="B141" s="13" t="s">
        <v>330</v>
      </c>
      <c r="C141" s="13" t="s">
        <v>321</v>
      </c>
      <c r="D141" s="13">
        <v>1</v>
      </c>
      <c r="E141" s="13" t="s">
        <v>247</v>
      </c>
    </row>
    <row r="142" spans="1:5" x14ac:dyDescent="0.25">
      <c r="A142" s="13" t="s">
        <v>145</v>
      </c>
      <c r="B142" s="13" t="s">
        <v>330</v>
      </c>
      <c r="C142" s="13" t="s">
        <v>252</v>
      </c>
      <c r="D142" s="13">
        <v>1</v>
      </c>
      <c r="E142" s="13" t="s">
        <v>177</v>
      </c>
    </row>
    <row r="143" spans="1:5" x14ac:dyDescent="0.25">
      <c r="A143" s="13" t="s">
        <v>145</v>
      </c>
      <c r="B143" s="13" t="s">
        <v>330</v>
      </c>
      <c r="C143" s="13" t="s">
        <v>245</v>
      </c>
      <c r="D143" s="13">
        <v>1</v>
      </c>
      <c r="E143" s="13" t="s">
        <v>247</v>
      </c>
    </row>
    <row r="144" spans="1:5" x14ac:dyDescent="0.25">
      <c r="A144" s="13" t="s">
        <v>145</v>
      </c>
      <c r="B144" s="13" t="s">
        <v>331</v>
      </c>
      <c r="C144" s="13" t="s">
        <v>246</v>
      </c>
      <c r="D144" s="13">
        <v>1</v>
      </c>
      <c r="E144" s="13" t="s">
        <v>271</v>
      </c>
    </row>
    <row r="145" spans="1:5" x14ac:dyDescent="0.25">
      <c r="A145" s="13" t="s">
        <v>145</v>
      </c>
      <c r="B145" s="13" t="s">
        <v>331</v>
      </c>
      <c r="C145" s="13" t="s">
        <v>269</v>
      </c>
      <c r="D145" s="13">
        <v>2</v>
      </c>
      <c r="E145" s="13" t="s">
        <v>282</v>
      </c>
    </row>
    <row r="146" spans="1:5" x14ac:dyDescent="0.25">
      <c r="A146" s="13" t="s">
        <v>145</v>
      </c>
      <c r="B146" s="13" t="s">
        <v>331</v>
      </c>
      <c r="C146" s="13" t="s">
        <v>321</v>
      </c>
      <c r="D146" s="13">
        <v>1</v>
      </c>
      <c r="E146" s="13" t="s">
        <v>247</v>
      </c>
    </row>
    <row r="147" spans="1:5" x14ac:dyDescent="0.25">
      <c r="A147" s="13" t="s">
        <v>145</v>
      </c>
      <c r="B147" s="13" t="s">
        <v>331</v>
      </c>
      <c r="C147" s="13" t="s">
        <v>249</v>
      </c>
      <c r="D147" s="13">
        <v>1</v>
      </c>
      <c r="E147" s="13" t="s">
        <v>271</v>
      </c>
    </row>
    <row r="148" spans="1:5" x14ac:dyDescent="0.25">
      <c r="A148" s="13" t="s">
        <v>145</v>
      </c>
      <c r="B148" s="13" t="s">
        <v>331</v>
      </c>
      <c r="C148" s="13" t="s">
        <v>325</v>
      </c>
      <c r="D148" s="13">
        <v>1</v>
      </c>
      <c r="E148" s="13" t="s">
        <v>247</v>
      </c>
    </row>
    <row r="149" spans="1:5" x14ac:dyDescent="0.25">
      <c r="A149" s="13" t="s">
        <v>145</v>
      </c>
      <c r="B149" s="13" t="s">
        <v>331</v>
      </c>
      <c r="C149" s="13" t="s">
        <v>280</v>
      </c>
      <c r="D149" s="13">
        <v>1</v>
      </c>
      <c r="E149" s="13" t="s">
        <v>247</v>
      </c>
    </row>
    <row r="150" spans="1:5" x14ac:dyDescent="0.25">
      <c r="A150" s="13" t="s">
        <v>145</v>
      </c>
      <c r="B150" s="13" t="s">
        <v>331</v>
      </c>
      <c r="C150" s="13" t="s">
        <v>322</v>
      </c>
      <c r="D150" s="13">
        <v>1</v>
      </c>
      <c r="E150" s="13" t="s">
        <v>279</v>
      </c>
    </row>
    <row r="151" spans="1:5" x14ac:dyDescent="0.25">
      <c r="A151" s="13" t="s">
        <v>145</v>
      </c>
      <c r="B151" s="13" t="s">
        <v>331</v>
      </c>
      <c r="C151" s="13" t="s">
        <v>332</v>
      </c>
      <c r="D151" s="13">
        <v>1</v>
      </c>
      <c r="E151" s="13" t="s">
        <v>282</v>
      </c>
    </row>
    <row r="152" spans="1:5" x14ac:dyDescent="0.25">
      <c r="A152" s="13" t="s">
        <v>145</v>
      </c>
      <c r="B152" s="13" t="s">
        <v>331</v>
      </c>
      <c r="C152" s="13" t="s">
        <v>278</v>
      </c>
      <c r="D152" s="13">
        <v>1</v>
      </c>
      <c r="E152" s="13" t="s">
        <v>279</v>
      </c>
    </row>
    <row r="153" spans="1:5" x14ac:dyDescent="0.25">
      <c r="A153" s="13" t="s">
        <v>145</v>
      </c>
      <c r="B153" s="13" t="s">
        <v>333</v>
      </c>
      <c r="C153" s="13" t="s">
        <v>246</v>
      </c>
      <c r="D153" s="13">
        <v>2</v>
      </c>
      <c r="E153" s="13" t="s">
        <v>264</v>
      </c>
    </row>
    <row r="154" spans="1:5" x14ac:dyDescent="0.25">
      <c r="A154" s="13" t="s">
        <v>145</v>
      </c>
      <c r="B154" s="13" t="s">
        <v>333</v>
      </c>
      <c r="C154" s="13" t="s">
        <v>249</v>
      </c>
      <c r="D154" s="13">
        <v>2</v>
      </c>
      <c r="E154" s="13" t="s">
        <v>247</v>
      </c>
    </row>
    <row r="155" spans="1:5" x14ac:dyDescent="0.25">
      <c r="A155" s="13" t="s">
        <v>145</v>
      </c>
      <c r="B155" s="13" t="s">
        <v>333</v>
      </c>
      <c r="C155" s="13" t="s">
        <v>252</v>
      </c>
      <c r="D155" s="13">
        <v>2</v>
      </c>
      <c r="E155" s="13" t="s">
        <v>282</v>
      </c>
    </row>
    <row r="156" spans="1:5" x14ac:dyDescent="0.25">
      <c r="A156" s="13" t="s">
        <v>145</v>
      </c>
      <c r="B156" s="13" t="s">
        <v>333</v>
      </c>
      <c r="C156" s="13" t="s">
        <v>325</v>
      </c>
      <c r="D156" s="13">
        <v>1</v>
      </c>
      <c r="E156" s="13" t="s">
        <v>247</v>
      </c>
    </row>
    <row r="157" spans="1:5" x14ac:dyDescent="0.25">
      <c r="A157" s="13" t="s">
        <v>145</v>
      </c>
      <c r="B157" s="13" t="s">
        <v>333</v>
      </c>
      <c r="C157" s="13" t="s">
        <v>334</v>
      </c>
      <c r="D157" s="13">
        <v>1</v>
      </c>
      <c r="E157" s="13" t="s">
        <v>279</v>
      </c>
    </row>
    <row r="158" spans="1:5" x14ac:dyDescent="0.25">
      <c r="A158" s="13" t="s">
        <v>145</v>
      </c>
      <c r="B158" s="13" t="s">
        <v>333</v>
      </c>
      <c r="C158" s="13" t="s">
        <v>280</v>
      </c>
      <c r="D158" s="13">
        <v>2</v>
      </c>
      <c r="E158" s="13" t="s">
        <v>247</v>
      </c>
    </row>
    <row r="159" spans="1:5" x14ac:dyDescent="0.25">
      <c r="A159" s="13" t="s">
        <v>145</v>
      </c>
      <c r="B159" s="13" t="s">
        <v>333</v>
      </c>
      <c r="C159" s="13" t="s">
        <v>319</v>
      </c>
      <c r="D159" s="13">
        <v>1</v>
      </c>
      <c r="E159" s="13" t="s">
        <v>247</v>
      </c>
    </row>
    <row r="160" spans="1:5" x14ac:dyDescent="0.25">
      <c r="A160" s="13" t="s">
        <v>145</v>
      </c>
      <c r="B160" s="13" t="s">
        <v>333</v>
      </c>
      <c r="C160" s="13" t="s">
        <v>254</v>
      </c>
      <c r="D160" s="13">
        <v>1</v>
      </c>
      <c r="E160" s="13" t="s">
        <v>247</v>
      </c>
    </row>
    <row r="161" spans="1:5" x14ac:dyDescent="0.25">
      <c r="A161" s="13" t="s">
        <v>148</v>
      </c>
      <c r="B161" s="13" t="s">
        <v>335</v>
      </c>
      <c r="C161" s="13" t="s">
        <v>249</v>
      </c>
      <c r="D161" s="13">
        <v>3</v>
      </c>
      <c r="E161" s="13" t="s">
        <v>282</v>
      </c>
    </row>
    <row r="162" spans="1:5" x14ac:dyDescent="0.25">
      <c r="A162" s="13" t="s">
        <v>148</v>
      </c>
      <c r="B162" s="13" t="s">
        <v>336</v>
      </c>
      <c r="C162" s="13" t="s">
        <v>249</v>
      </c>
      <c r="D162" s="13">
        <v>4</v>
      </c>
      <c r="E162" s="13" t="s">
        <v>279</v>
      </c>
    </row>
    <row r="163" spans="1:5" x14ac:dyDescent="0.25">
      <c r="A163" s="13" t="s">
        <v>148</v>
      </c>
      <c r="B163" s="13" t="s">
        <v>337</v>
      </c>
      <c r="C163" s="13" t="s">
        <v>249</v>
      </c>
      <c r="D163" s="13">
        <v>1</v>
      </c>
      <c r="E163" s="13" t="s">
        <v>282</v>
      </c>
    </row>
    <row r="164" spans="1:5" x14ac:dyDescent="0.25">
      <c r="A164" s="13" t="s">
        <v>146</v>
      </c>
      <c r="B164" s="13" t="s">
        <v>338</v>
      </c>
      <c r="C164" s="13" t="s">
        <v>252</v>
      </c>
      <c r="D164" s="13">
        <v>2</v>
      </c>
      <c r="E164" s="13" t="s">
        <v>279</v>
      </c>
    </row>
    <row r="165" spans="1:5" x14ac:dyDescent="0.25">
      <c r="A165" s="13" t="s">
        <v>146</v>
      </c>
      <c r="B165" s="13" t="s">
        <v>338</v>
      </c>
      <c r="C165" s="13" t="s">
        <v>253</v>
      </c>
      <c r="D165" s="13">
        <v>2</v>
      </c>
      <c r="E165" s="13" t="s">
        <v>282</v>
      </c>
    </row>
    <row r="166" spans="1:5" x14ac:dyDescent="0.25">
      <c r="A166" s="13" t="s">
        <v>146</v>
      </c>
      <c r="B166" s="13" t="s">
        <v>338</v>
      </c>
      <c r="C166" s="13" t="s">
        <v>249</v>
      </c>
      <c r="D166" s="13">
        <v>1</v>
      </c>
      <c r="E166" s="13" t="s">
        <v>279</v>
      </c>
    </row>
    <row r="167" spans="1:5" x14ac:dyDescent="0.25">
      <c r="A167" s="13" t="s">
        <v>146</v>
      </c>
      <c r="B167" s="13" t="s">
        <v>338</v>
      </c>
      <c r="C167" s="13" t="s">
        <v>325</v>
      </c>
      <c r="D167" s="13">
        <v>1</v>
      </c>
      <c r="E167" s="13" t="s">
        <v>247</v>
      </c>
    </row>
    <row r="168" spans="1:5" x14ac:dyDescent="0.25">
      <c r="A168" s="13" t="s">
        <v>146</v>
      </c>
      <c r="B168" s="13" t="s">
        <v>338</v>
      </c>
      <c r="C168" s="13" t="s">
        <v>278</v>
      </c>
      <c r="D168" s="13">
        <v>1</v>
      </c>
      <c r="E168" s="13" t="s">
        <v>279</v>
      </c>
    </row>
    <row r="169" spans="1:5" x14ac:dyDescent="0.25">
      <c r="A169" s="13" t="s">
        <v>146</v>
      </c>
      <c r="B169" s="13" t="s">
        <v>338</v>
      </c>
      <c r="C169" s="13" t="s">
        <v>245</v>
      </c>
      <c r="D169" s="13">
        <v>1</v>
      </c>
      <c r="E169" s="13" t="s">
        <v>282</v>
      </c>
    </row>
    <row r="170" spans="1:5" x14ac:dyDescent="0.25">
      <c r="A170" s="13" t="s">
        <v>146</v>
      </c>
      <c r="B170" s="13" t="s">
        <v>338</v>
      </c>
      <c r="C170" s="13" t="s">
        <v>322</v>
      </c>
      <c r="D170" s="13">
        <v>1</v>
      </c>
      <c r="E170" s="13" t="s">
        <v>247</v>
      </c>
    </row>
    <row r="171" spans="1:5" s="21" customFormat="1" x14ac:dyDescent="0.25">
      <c r="A171" s="20" t="s">
        <v>146</v>
      </c>
      <c r="B171" s="20" t="s">
        <v>338</v>
      </c>
      <c r="C171" s="20" t="s">
        <v>319</v>
      </c>
      <c r="D171" s="20">
        <v>1</v>
      </c>
      <c r="E171" s="20" t="s">
        <v>279</v>
      </c>
    </row>
    <row r="172" spans="1:5" x14ac:dyDescent="0.25">
      <c r="A172" s="13" t="s">
        <v>146</v>
      </c>
      <c r="B172" s="13" t="s">
        <v>339</v>
      </c>
      <c r="C172" s="13" t="s">
        <v>280</v>
      </c>
      <c r="D172" s="13">
        <v>3</v>
      </c>
      <c r="E172" s="13" t="s">
        <v>264</v>
      </c>
    </row>
    <row r="173" spans="1:5" x14ac:dyDescent="0.25">
      <c r="A173" s="13" t="s">
        <v>146</v>
      </c>
      <c r="B173" s="13" t="s">
        <v>339</v>
      </c>
      <c r="C173" s="13" t="s">
        <v>252</v>
      </c>
      <c r="D173" s="13">
        <v>4</v>
      </c>
      <c r="E173" s="13" t="s">
        <v>282</v>
      </c>
    </row>
    <row r="174" spans="1:5" x14ac:dyDescent="0.25">
      <c r="A174" s="13" t="s">
        <v>146</v>
      </c>
      <c r="B174" s="13" t="s">
        <v>339</v>
      </c>
      <c r="C174" s="13" t="s">
        <v>254</v>
      </c>
      <c r="D174" s="13">
        <v>1</v>
      </c>
      <c r="E174" s="13" t="s">
        <v>247</v>
      </c>
    </row>
    <row r="175" spans="1:5" x14ac:dyDescent="0.25">
      <c r="A175" s="13" t="s">
        <v>146</v>
      </c>
      <c r="B175" s="13" t="s">
        <v>339</v>
      </c>
      <c r="C175" s="13" t="s">
        <v>253</v>
      </c>
      <c r="D175" s="13">
        <v>1</v>
      </c>
      <c r="E175" s="13" t="s">
        <v>247</v>
      </c>
    </row>
    <row r="176" spans="1:5" x14ac:dyDescent="0.25">
      <c r="A176" s="13" t="s">
        <v>146</v>
      </c>
      <c r="B176" s="13" t="s">
        <v>339</v>
      </c>
      <c r="C176" s="13" t="s">
        <v>245</v>
      </c>
      <c r="D176" s="13">
        <v>1</v>
      </c>
      <c r="E176" s="13" t="s">
        <v>271</v>
      </c>
    </row>
    <row r="177" spans="1:5" x14ac:dyDescent="0.25">
      <c r="A177" s="13" t="s">
        <v>146</v>
      </c>
      <c r="B177" s="13" t="s">
        <v>339</v>
      </c>
      <c r="C177" s="13" t="s">
        <v>319</v>
      </c>
      <c r="D177" s="13">
        <v>1</v>
      </c>
      <c r="E177" s="13" t="s">
        <v>282</v>
      </c>
    </row>
    <row r="178" spans="1:5" x14ac:dyDescent="0.25">
      <c r="A178" s="13" t="s">
        <v>146</v>
      </c>
      <c r="B178" s="13" t="s">
        <v>339</v>
      </c>
      <c r="C178" s="13" t="s">
        <v>248</v>
      </c>
      <c r="D178" s="13">
        <v>1</v>
      </c>
      <c r="E178" s="13" t="s">
        <v>177</v>
      </c>
    </row>
    <row r="179" spans="1:5" x14ac:dyDescent="0.25">
      <c r="A179" s="13" t="s">
        <v>146</v>
      </c>
      <c r="B179" s="13" t="s">
        <v>339</v>
      </c>
      <c r="C179" s="13" t="s">
        <v>321</v>
      </c>
      <c r="D179" s="13">
        <v>1</v>
      </c>
      <c r="E179" s="13" t="s">
        <v>247</v>
      </c>
    </row>
    <row r="180" spans="1:5" x14ac:dyDescent="0.25">
      <c r="A180" s="13" t="s">
        <v>146</v>
      </c>
      <c r="B180" s="13" t="s">
        <v>340</v>
      </c>
      <c r="C180" s="13" t="s">
        <v>252</v>
      </c>
      <c r="D180" s="13">
        <v>3</v>
      </c>
      <c r="E180" s="13" t="s">
        <v>279</v>
      </c>
    </row>
    <row r="181" spans="1:5" x14ac:dyDescent="0.25">
      <c r="A181" s="13" t="s">
        <v>146</v>
      </c>
      <c r="B181" s="13" t="s">
        <v>340</v>
      </c>
      <c r="C181" s="13" t="s">
        <v>248</v>
      </c>
      <c r="D181" s="13">
        <v>1</v>
      </c>
      <c r="E181" s="13" t="s">
        <v>177</v>
      </c>
    </row>
    <row r="182" spans="1:5" x14ac:dyDescent="0.25">
      <c r="A182" s="13" t="s">
        <v>146</v>
      </c>
      <c r="B182" s="13" t="s">
        <v>340</v>
      </c>
      <c r="C182" s="13" t="s">
        <v>254</v>
      </c>
      <c r="D182" s="13">
        <v>1</v>
      </c>
      <c r="E182" s="13" t="s">
        <v>247</v>
      </c>
    </row>
    <row r="183" spans="1:5" x14ac:dyDescent="0.25">
      <c r="A183" s="13" t="s">
        <v>146</v>
      </c>
      <c r="B183" s="13" t="s">
        <v>340</v>
      </c>
      <c r="C183" s="13" t="s">
        <v>253</v>
      </c>
      <c r="D183" s="13">
        <v>1</v>
      </c>
      <c r="E183" s="13" t="s">
        <v>282</v>
      </c>
    </row>
    <row r="184" spans="1:5" x14ac:dyDescent="0.25">
      <c r="A184" s="13" t="s">
        <v>146</v>
      </c>
      <c r="B184" s="13" t="s">
        <v>340</v>
      </c>
      <c r="C184" s="13" t="s">
        <v>245</v>
      </c>
      <c r="D184" s="13">
        <v>1</v>
      </c>
      <c r="E184" s="13" t="s">
        <v>271</v>
      </c>
    </row>
    <row r="185" spans="1:5" x14ac:dyDescent="0.25">
      <c r="A185" s="13" t="s">
        <v>146</v>
      </c>
      <c r="B185" s="13" t="s">
        <v>340</v>
      </c>
      <c r="C185" s="13" t="s">
        <v>273</v>
      </c>
      <c r="D185" s="13">
        <v>1</v>
      </c>
      <c r="E185" s="13" t="s">
        <v>247</v>
      </c>
    </row>
    <row r="186" spans="1:5" x14ac:dyDescent="0.25">
      <c r="A186" s="13" t="s">
        <v>146</v>
      </c>
      <c r="B186" s="13" t="s">
        <v>340</v>
      </c>
      <c r="C186" s="13" t="s">
        <v>321</v>
      </c>
      <c r="D186" s="13">
        <v>1</v>
      </c>
      <c r="E186" s="13" t="s">
        <v>247</v>
      </c>
    </row>
    <row r="187" spans="1:5" x14ac:dyDescent="0.25">
      <c r="A187" s="13" t="s">
        <v>146</v>
      </c>
      <c r="B187" s="13" t="s">
        <v>340</v>
      </c>
      <c r="C187" s="13" t="s">
        <v>322</v>
      </c>
      <c r="D187" s="13">
        <v>1</v>
      </c>
      <c r="E187" s="13" t="s">
        <v>264</v>
      </c>
    </row>
    <row r="188" spans="1:5" x14ac:dyDescent="0.25">
      <c r="A188" s="13" t="s">
        <v>146</v>
      </c>
      <c r="B188" s="13" t="s">
        <v>340</v>
      </c>
      <c r="C188" s="13" t="s">
        <v>249</v>
      </c>
      <c r="D188" s="13">
        <v>2</v>
      </c>
      <c r="E188" s="13" t="s">
        <v>271</v>
      </c>
    </row>
    <row r="189" spans="1:5" x14ac:dyDescent="0.25">
      <c r="A189" s="13" t="s">
        <v>146</v>
      </c>
      <c r="B189" s="13" t="s">
        <v>340</v>
      </c>
      <c r="C189" s="13" t="s">
        <v>278</v>
      </c>
      <c r="D189" s="13">
        <v>1</v>
      </c>
      <c r="E189" s="13" t="s">
        <v>282</v>
      </c>
    </row>
    <row r="190" spans="1:5" x14ac:dyDescent="0.25">
      <c r="A190" s="13" t="s">
        <v>157</v>
      </c>
      <c r="B190" s="13" t="s">
        <v>341</v>
      </c>
      <c r="C190" s="13" t="s">
        <v>332</v>
      </c>
      <c r="D190" s="13">
        <v>3</v>
      </c>
      <c r="E190" s="13" t="s">
        <v>279</v>
      </c>
    </row>
    <row r="191" spans="1:5" x14ac:dyDescent="0.25">
      <c r="A191" s="13" t="s">
        <v>157</v>
      </c>
      <c r="B191" s="13" t="s">
        <v>341</v>
      </c>
      <c r="C191" s="13" t="s">
        <v>245</v>
      </c>
      <c r="D191" s="13">
        <v>1</v>
      </c>
      <c r="E191" s="13" t="s">
        <v>282</v>
      </c>
    </row>
    <row r="192" spans="1:5" x14ac:dyDescent="0.25">
      <c r="A192" s="13" t="s">
        <v>157</v>
      </c>
      <c r="B192" s="13" t="s">
        <v>341</v>
      </c>
      <c r="C192" s="13" t="s">
        <v>325</v>
      </c>
      <c r="D192" s="13">
        <v>1</v>
      </c>
      <c r="E192" s="13" t="s">
        <v>282</v>
      </c>
    </row>
    <row r="193" spans="1:5" x14ac:dyDescent="0.25">
      <c r="A193" s="13" t="s">
        <v>157</v>
      </c>
      <c r="B193" s="13" t="s">
        <v>342</v>
      </c>
      <c r="C193" s="13" t="s">
        <v>332</v>
      </c>
      <c r="D193" s="13">
        <v>4</v>
      </c>
      <c r="E193" s="13" t="s">
        <v>282</v>
      </c>
    </row>
    <row r="194" spans="1:5" x14ac:dyDescent="0.25">
      <c r="A194" s="13" t="s">
        <v>157</v>
      </c>
      <c r="B194" s="13" t="s">
        <v>342</v>
      </c>
      <c r="C194" s="13" t="s">
        <v>252</v>
      </c>
      <c r="D194" s="13">
        <v>3</v>
      </c>
      <c r="E194" s="13" t="s">
        <v>282</v>
      </c>
    </row>
    <row r="195" spans="1:5" x14ac:dyDescent="0.25">
      <c r="A195" s="13" t="s">
        <v>157</v>
      </c>
      <c r="B195" s="13" t="s">
        <v>343</v>
      </c>
      <c r="C195" s="13" t="s">
        <v>252</v>
      </c>
      <c r="D195" s="13">
        <v>5</v>
      </c>
      <c r="E195" s="13" t="s">
        <v>282</v>
      </c>
    </row>
    <row r="196" spans="1:5" x14ac:dyDescent="0.25">
      <c r="A196" s="13" t="s">
        <v>157</v>
      </c>
      <c r="B196" s="13" t="s">
        <v>343</v>
      </c>
      <c r="C196" s="13" t="s">
        <v>332</v>
      </c>
      <c r="D196" s="13">
        <v>3</v>
      </c>
      <c r="E196" s="13" t="s">
        <v>282</v>
      </c>
    </row>
    <row r="197" spans="1:5" x14ac:dyDescent="0.25">
      <c r="A197" s="13" t="s">
        <v>157</v>
      </c>
      <c r="B197" s="13" t="s">
        <v>343</v>
      </c>
      <c r="C197" s="13" t="s">
        <v>319</v>
      </c>
      <c r="D197" s="13">
        <v>1</v>
      </c>
      <c r="E197" s="13" t="s">
        <v>279</v>
      </c>
    </row>
    <row r="198" spans="1:5" x14ac:dyDescent="0.25">
      <c r="A198" s="13" t="s">
        <v>157</v>
      </c>
      <c r="B198" s="13" t="s">
        <v>343</v>
      </c>
      <c r="C198" s="13" t="s">
        <v>245</v>
      </c>
      <c r="D198" s="13">
        <v>1</v>
      </c>
      <c r="E198" s="13" t="s">
        <v>247</v>
      </c>
    </row>
    <row r="199" spans="1:5" x14ac:dyDescent="0.25">
      <c r="A199" s="13" t="s">
        <v>150</v>
      </c>
      <c r="B199" s="13" t="s">
        <v>344</v>
      </c>
      <c r="C199" s="13" t="s">
        <v>246</v>
      </c>
      <c r="D199" s="13">
        <v>2</v>
      </c>
      <c r="E199" s="13" t="s">
        <v>264</v>
      </c>
    </row>
    <row r="200" spans="1:5" x14ac:dyDescent="0.25">
      <c r="A200" s="13" t="s">
        <v>150</v>
      </c>
      <c r="B200" s="13" t="s">
        <v>344</v>
      </c>
      <c r="C200" s="13" t="s">
        <v>332</v>
      </c>
      <c r="D200" s="13">
        <v>1</v>
      </c>
      <c r="E200" s="13" t="s">
        <v>271</v>
      </c>
    </row>
    <row r="201" spans="1:5" x14ac:dyDescent="0.25">
      <c r="A201" s="13" t="s">
        <v>150</v>
      </c>
      <c r="B201" s="13" t="s">
        <v>344</v>
      </c>
      <c r="C201" s="13" t="s">
        <v>259</v>
      </c>
      <c r="D201" s="13">
        <v>1</v>
      </c>
      <c r="E201" s="13" t="s">
        <v>271</v>
      </c>
    </row>
    <row r="202" spans="1:5" x14ac:dyDescent="0.25">
      <c r="A202" s="13" t="s">
        <v>150</v>
      </c>
      <c r="B202" s="13" t="s">
        <v>345</v>
      </c>
      <c r="C202" s="13" t="s">
        <v>246</v>
      </c>
      <c r="D202" s="13">
        <v>3</v>
      </c>
      <c r="E202" s="13" t="s">
        <v>177</v>
      </c>
    </row>
    <row r="203" spans="1:5" x14ac:dyDescent="0.25">
      <c r="A203" s="13" t="s">
        <v>150</v>
      </c>
      <c r="B203" s="13" t="s">
        <v>345</v>
      </c>
      <c r="C203" s="13" t="s">
        <v>332</v>
      </c>
      <c r="D203" s="13">
        <v>1</v>
      </c>
      <c r="E203" s="13" t="s">
        <v>271</v>
      </c>
    </row>
    <row r="204" spans="1:5" x14ac:dyDescent="0.25">
      <c r="A204" s="13" t="s">
        <v>150</v>
      </c>
      <c r="B204" s="13" t="s">
        <v>345</v>
      </c>
      <c r="C204" s="13" t="s">
        <v>325</v>
      </c>
      <c r="D204" s="13">
        <v>1</v>
      </c>
      <c r="E204" s="13" t="s">
        <v>247</v>
      </c>
    </row>
    <row r="205" spans="1:5" x14ac:dyDescent="0.25">
      <c r="A205" s="13" t="s">
        <v>150</v>
      </c>
      <c r="B205" s="13" t="s">
        <v>346</v>
      </c>
      <c r="C205" s="13" t="s">
        <v>246</v>
      </c>
      <c r="D205" s="13">
        <v>3</v>
      </c>
      <c r="E205" s="13" t="s">
        <v>177</v>
      </c>
    </row>
    <row r="206" spans="1:5" x14ac:dyDescent="0.25">
      <c r="A206" s="13" t="s">
        <v>156</v>
      </c>
      <c r="B206" s="13" t="s">
        <v>347</v>
      </c>
      <c r="C206" s="13" t="s">
        <v>280</v>
      </c>
      <c r="D206" s="13">
        <v>3</v>
      </c>
      <c r="E206" s="13" t="s">
        <v>177</v>
      </c>
    </row>
    <row r="207" spans="1:5" x14ac:dyDescent="0.25">
      <c r="A207" s="13" t="s">
        <v>156</v>
      </c>
      <c r="B207" s="13" t="s">
        <v>347</v>
      </c>
      <c r="C207" s="13" t="s">
        <v>348</v>
      </c>
      <c r="D207" s="13">
        <v>2</v>
      </c>
      <c r="E207" s="13" t="s">
        <v>279</v>
      </c>
    </row>
    <row r="208" spans="1:5" x14ac:dyDescent="0.25">
      <c r="A208" s="13" t="s">
        <v>156</v>
      </c>
      <c r="B208" s="13" t="s">
        <v>347</v>
      </c>
      <c r="C208" s="13" t="s">
        <v>252</v>
      </c>
      <c r="D208" s="13">
        <v>3</v>
      </c>
      <c r="E208" s="13" t="s">
        <v>264</v>
      </c>
    </row>
    <row r="209" spans="1:5" x14ac:dyDescent="0.25">
      <c r="A209" s="13" t="s">
        <v>156</v>
      </c>
      <c r="B209" s="13" t="s">
        <v>347</v>
      </c>
      <c r="C209" s="13" t="s">
        <v>269</v>
      </c>
      <c r="D209" s="13">
        <v>3</v>
      </c>
      <c r="E209" s="13" t="s">
        <v>264</v>
      </c>
    </row>
    <row r="210" spans="1:5" x14ac:dyDescent="0.25">
      <c r="A210" s="13" t="s">
        <v>156</v>
      </c>
      <c r="B210" s="13" t="s">
        <v>347</v>
      </c>
      <c r="C210" s="13" t="s">
        <v>349</v>
      </c>
      <c r="D210" s="13">
        <v>2</v>
      </c>
      <c r="E210" s="13" t="s">
        <v>282</v>
      </c>
    </row>
    <row r="211" spans="1:5" x14ac:dyDescent="0.25">
      <c r="A211" s="13" t="s">
        <v>156</v>
      </c>
      <c r="B211" s="13" t="s">
        <v>347</v>
      </c>
      <c r="C211" s="13" t="s">
        <v>319</v>
      </c>
      <c r="D211" s="13">
        <v>1</v>
      </c>
      <c r="E211" s="13" t="s">
        <v>271</v>
      </c>
    </row>
    <row r="212" spans="1:5" x14ac:dyDescent="0.25">
      <c r="A212" s="13" t="s">
        <v>156</v>
      </c>
      <c r="B212" s="13" t="s">
        <v>347</v>
      </c>
      <c r="C212" s="13" t="s">
        <v>316</v>
      </c>
      <c r="D212" s="13">
        <v>1</v>
      </c>
      <c r="E212" s="13" t="s">
        <v>264</v>
      </c>
    </row>
    <row r="213" spans="1:5" x14ac:dyDescent="0.25">
      <c r="A213" s="13" t="s">
        <v>156</v>
      </c>
      <c r="B213" s="13" t="s">
        <v>347</v>
      </c>
      <c r="C213" s="13" t="s">
        <v>322</v>
      </c>
      <c r="D213" s="13">
        <v>1</v>
      </c>
      <c r="E213" s="13" t="s">
        <v>247</v>
      </c>
    </row>
    <row r="214" spans="1:5" x14ac:dyDescent="0.25">
      <c r="A214" s="13" t="s">
        <v>156</v>
      </c>
      <c r="B214" s="13" t="s">
        <v>347</v>
      </c>
      <c r="C214" s="13" t="s">
        <v>350</v>
      </c>
      <c r="D214" s="13">
        <v>1</v>
      </c>
      <c r="E214" s="13" t="s">
        <v>279</v>
      </c>
    </row>
    <row r="215" spans="1:5" x14ac:dyDescent="0.25">
      <c r="A215" s="13" t="s">
        <v>156</v>
      </c>
      <c r="B215" s="13" t="s">
        <v>351</v>
      </c>
      <c r="C215" s="13" t="s">
        <v>319</v>
      </c>
      <c r="D215" s="13">
        <v>1</v>
      </c>
      <c r="E215" s="13" t="s">
        <v>282</v>
      </c>
    </row>
    <row r="216" spans="1:5" x14ac:dyDescent="0.25">
      <c r="A216" s="13" t="s">
        <v>156</v>
      </c>
      <c r="B216" s="13" t="s">
        <v>351</v>
      </c>
      <c r="C216" s="13" t="s">
        <v>348</v>
      </c>
      <c r="D216" s="13">
        <v>2</v>
      </c>
      <c r="E216" s="13" t="s">
        <v>282</v>
      </c>
    </row>
    <row r="217" spans="1:5" x14ac:dyDescent="0.25">
      <c r="A217" s="13" t="s">
        <v>156</v>
      </c>
      <c r="B217" s="13" t="s">
        <v>351</v>
      </c>
      <c r="C217" s="13" t="s">
        <v>252</v>
      </c>
      <c r="D217" s="13">
        <v>3</v>
      </c>
      <c r="E217" s="13" t="s">
        <v>247</v>
      </c>
    </row>
    <row r="218" spans="1:5" x14ac:dyDescent="0.25">
      <c r="A218" s="13" t="s">
        <v>156</v>
      </c>
      <c r="B218" s="13" t="s">
        <v>351</v>
      </c>
      <c r="C218" s="13" t="s">
        <v>280</v>
      </c>
      <c r="D218" s="13">
        <v>3</v>
      </c>
      <c r="E218" s="13" t="s">
        <v>177</v>
      </c>
    </row>
    <row r="219" spans="1:5" x14ac:dyDescent="0.25">
      <c r="A219" s="13" t="s">
        <v>156</v>
      </c>
      <c r="B219" s="13" t="s">
        <v>351</v>
      </c>
      <c r="C219" s="13" t="s">
        <v>349</v>
      </c>
      <c r="D219" s="13">
        <v>1</v>
      </c>
      <c r="E219" s="13" t="s">
        <v>282</v>
      </c>
    </row>
    <row r="220" spans="1:5" x14ac:dyDescent="0.25">
      <c r="A220" s="13" t="s">
        <v>156</v>
      </c>
      <c r="B220" s="13" t="s">
        <v>351</v>
      </c>
      <c r="C220" s="13" t="s">
        <v>280</v>
      </c>
      <c r="D220" s="13">
        <v>3</v>
      </c>
      <c r="E220" s="13" t="s">
        <v>177</v>
      </c>
    </row>
    <row r="221" spans="1:5" x14ac:dyDescent="0.25">
      <c r="A221" s="13" t="s">
        <v>156</v>
      </c>
      <c r="B221" s="13" t="s">
        <v>351</v>
      </c>
      <c r="C221" s="13" t="s">
        <v>349</v>
      </c>
      <c r="D221" s="13">
        <v>1</v>
      </c>
      <c r="E221" s="13" t="s">
        <v>282</v>
      </c>
    </row>
    <row r="222" spans="1:5" x14ac:dyDescent="0.25">
      <c r="A222" s="13" t="s">
        <v>156</v>
      </c>
      <c r="B222" s="13" t="s">
        <v>351</v>
      </c>
      <c r="C222" s="13" t="s">
        <v>352</v>
      </c>
      <c r="D222" s="13">
        <v>1</v>
      </c>
      <c r="E222" s="13" t="s">
        <v>271</v>
      </c>
    </row>
    <row r="223" spans="1:5" x14ac:dyDescent="0.25">
      <c r="A223" s="13" t="s">
        <v>156</v>
      </c>
      <c r="B223" s="13" t="s">
        <v>351</v>
      </c>
      <c r="C223" s="13" t="s">
        <v>245</v>
      </c>
      <c r="D223" s="13">
        <v>1</v>
      </c>
      <c r="E223" s="13" t="s">
        <v>247</v>
      </c>
    </row>
    <row r="224" spans="1:5" x14ac:dyDescent="0.25">
      <c r="A224" s="13" t="s">
        <v>156</v>
      </c>
      <c r="B224" s="13" t="s">
        <v>353</v>
      </c>
      <c r="C224" s="13" t="s">
        <v>319</v>
      </c>
      <c r="D224" s="13">
        <v>2</v>
      </c>
      <c r="E224" s="13" t="s">
        <v>282</v>
      </c>
    </row>
    <row r="225" spans="1:5" x14ac:dyDescent="0.25">
      <c r="A225" s="13" t="s">
        <v>156</v>
      </c>
      <c r="B225" s="13" t="s">
        <v>353</v>
      </c>
      <c r="C225" s="13" t="s">
        <v>252</v>
      </c>
      <c r="D225" s="13">
        <v>2</v>
      </c>
      <c r="E225" s="13" t="s">
        <v>177</v>
      </c>
    </row>
    <row r="226" spans="1:5" x14ac:dyDescent="0.25">
      <c r="A226" s="13" t="s">
        <v>156</v>
      </c>
      <c r="B226" s="13" t="s">
        <v>353</v>
      </c>
      <c r="C226" s="13" t="s">
        <v>348</v>
      </c>
      <c r="D226" s="13">
        <v>1</v>
      </c>
      <c r="E226" s="13" t="s">
        <v>279</v>
      </c>
    </row>
    <row r="227" spans="1:5" x14ac:dyDescent="0.25">
      <c r="A227" s="13" t="s">
        <v>149</v>
      </c>
      <c r="B227" s="13" t="s">
        <v>354</v>
      </c>
      <c r="C227" s="13" t="s">
        <v>249</v>
      </c>
      <c r="D227" s="13">
        <v>6</v>
      </c>
      <c r="E227" s="13" t="s">
        <v>177</v>
      </c>
    </row>
    <row r="228" spans="1:5" x14ac:dyDescent="0.25">
      <c r="A228" s="13" t="s">
        <v>149</v>
      </c>
      <c r="B228" s="13" t="s">
        <v>355</v>
      </c>
      <c r="C228" s="13" t="s">
        <v>249</v>
      </c>
      <c r="D228" s="13">
        <v>3</v>
      </c>
      <c r="E228" s="13" t="s">
        <v>247</v>
      </c>
    </row>
    <row r="229" spans="1:5" x14ac:dyDescent="0.25">
      <c r="A229" s="13" t="s">
        <v>149</v>
      </c>
      <c r="B229" s="13" t="s">
        <v>355</v>
      </c>
      <c r="C229" s="13" t="s">
        <v>246</v>
      </c>
      <c r="D229" s="13">
        <v>1</v>
      </c>
      <c r="E229" s="13" t="s">
        <v>247</v>
      </c>
    </row>
    <row r="230" spans="1:5" x14ac:dyDescent="0.25">
      <c r="A230" s="13" t="s">
        <v>149</v>
      </c>
      <c r="B230" s="13" t="s">
        <v>356</v>
      </c>
      <c r="C230" s="13" t="s">
        <v>249</v>
      </c>
      <c r="D230" s="13">
        <v>5</v>
      </c>
      <c r="E230" s="13" t="s">
        <v>247</v>
      </c>
    </row>
    <row r="231" spans="1:5" x14ac:dyDescent="0.25">
      <c r="A231" s="13" t="s">
        <v>155</v>
      </c>
      <c r="B231" s="13" t="s">
        <v>357</v>
      </c>
      <c r="C231" s="13" t="s">
        <v>252</v>
      </c>
      <c r="D231" s="13">
        <v>4</v>
      </c>
      <c r="E231" s="13" t="s">
        <v>177</v>
      </c>
    </row>
    <row r="232" spans="1:5" x14ac:dyDescent="0.25">
      <c r="A232" s="13" t="s">
        <v>155</v>
      </c>
      <c r="B232" s="13" t="s">
        <v>357</v>
      </c>
      <c r="C232" s="13" t="s">
        <v>332</v>
      </c>
      <c r="D232" s="13">
        <v>2</v>
      </c>
      <c r="E232" s="13" t="s">
        <v>264</v>
      </c>
    </row>
    <row r="233" spans="1:5" x14ac:dyDescent="0.25">
      <c r="A233" s="13" t="s">
        <v>155</v>
      </c>
      <c r="B233" s="13" t="s">
        <v>357</v>
      </c>
      <c r="C233" s="13" t="s">
        <v>245</v>
      </c>
      <c r="D233" s="13">
        <v>1</v>
      </c>
      <c r="E233" s="13" t="s">
        <v>247</v>
      </c>
    </row>
    <row r="234" spans="1:5" x14ac:dyDescent="0.25">
      <c r="A234" s="13" t="s">
        <v>155</v>
      </c>
      <c r="B234" s="13" t="s">
        <v>358</v>
      </c>
      <c r="C234" s="13" t="s">
        <v>332</v>
      </c>
      <c r="D234" s="13">
        <v>2</v>
      </c>
      <c r="E234" s="13" t="s">
        <v>271</v>
      </c>
    </row>
    <row r="235" spans="1:5" x14ac:dyDescent="0.25">
      <c r="A235" s="13" t="s">
        <v>155</v>
      </c>
      <c r="B235" s="13" t="s">
        <v>358</v>
      </c>
      <c r="C235" s="13" t="s">
        <v>252</v>
      </c>
      <c r="D235" s="13">
        <v>2</v>
      </c>
      <c r="E235" s="13" t="s">
        <v>177</v>
      </c>
    </row>
    <row r="236" spans="1:5" x14ac:dyDescent="0.25">
      <c r="A236" s="13" t="s">
        <v>155</v>
      </c>
      <c r="B236" s="13" t="s">
        <v>358</v>
      </c>
      <c r="C236" s="13" t="s">
        <v>249</v>
      </c>
      <c r="D236" s="13">
        <v>2</v>
      </c>
      <c r="E236" s="13" t="s">
        <v>282</v>
      </c>
    </row>
    <row r="237" spans="1:5" x14ac:dyDescent="0.25">
      <c r="A237" s="13" t="s">
        <v>155</v>
      </c>
      <c r="B237" s="13" t="s">
        <v>358</v>
      </c>
      <c r="C237" s="13" t="s">
        <v>254</v>
      </c>
      <c r="D237" s="13">
        <v>1</v>
      </c>
      <c r="E237" s="13" t="s">
        <v>247</v>
      </c>
    </row>
    <row r="238" spans="1:5" x14ac:dyDescent="0.25">
      <c r="A238" s="13" t="s">
        <v>155</v>
      </c>
      <c r="B238" s="13" t="s">
        <v>358</v>
      </c>
      <c r="C238" s="13" t="s">
        <v>273</v>
      </c>
      <c r="D238" s="13">
        <v>1</v>
      </c>
      <c r="E238" s="13" t="s">
        <v>264</v>
      </c>
    </row>
    <row r="239" spans="1:5" x14ac:dyDescent="0.25">
      <c r="A239" s="13" t="s">
        <v>155</v>
      </c>
      <c r="B239" s="13" t="s">
        <v>357</v>
      </c>
      <c r="C239" s="13" t="s">
        <v>245</v>
      </c>
      <c r="D239" s="13">
        <v>1</v>
      </c>
      <c r="E239" s="13" t="s">
        <v>264</v>
      </c>
    </row>
    <row r="240" spans="1:5" x14ac:dyDescent="0.25">
      <c r="A240" s="13" t="s">
        <v>155</v>
      </c>
      <c r="B240" s="13" t="s">
        <v>359</v>
      </c>
      <c r="C240" s="13" t="s">
        <v>252</v>
      </c>
      <c r="D240" s="13">
        <v>4</v>
      </c>
      <c r="E240" s="13" t="s">
        <v>271</v>
      </c>
    </row>
    <row r="241" spans="1:5" x14ac:dyDescent="0.25">
      <c r="A241" s="13" t="s">
        <v>155</v>
      </c>
      <c r="B241" s="13" t="s">
        <v>359</v>
      </c>
      <c r="C241" s="13" t="s">
        <v>332</v>
      </c>
      <c r="D241" s="13">
        <v>2</v>
      </c>
      <c r="E241" s="13" t="s">
        <v>271</v>
      </c>
    </row>
    <row r="242" spans="1:5" x14ac:dyDescent="0.25">
      <c r="A242" s="13" t="s">
        <v>155</v>
      </c>
      <c r="B242" s="13" t="s">
        <v>359</v>
      </c>
      <c r="C242" s="13" t="s">
        <v>273</v>
      </c>
      <c r="D242" s="13">
        <v>2</v>
      </c>
      <c r="E242" s="13" t="s">
        <v>271</v>
      </c>
    </row>
    <row r="243" spans="1:5" x14ac:dyDescent="0.25">
      <c r="A243" s="13" t="s">
        <v>155</v>
      </c>
      <c r="B243" s="13" t="s">
        <v>359</v>
      </c>
      <c r="C243" s="13" t="s">
        <v>259</v>
      </c>
      <c r="D243" s="13">
        <v>2</v>
      </c>
      <c r="E243" s="13" t="s">
        <v>247</v>
      </c>
    </row>
    <row r="244" spans="1:5" x14ac:dyDescent="0.25">
      <c r="A244" s="13" t="s">
        <v>155</v>
      </c>
      <c r="B244" s="13" t="s">
        <v>359</v>
      </c>
      <c r="C244" s="13" t="s">
        <v>245</v>
      </c>
      <c r="D244" s="13">
        <v>1</v>
      </c>
      <c r="E244" s="13" t="s">
        <v>247</v>
      </c>
    </row>
    <row r="245" spans="1:5" x14ac:dyDescent="0.25">
      <c r="A245" s="13" t="s">
        <v>185</v>
      </c>
      <c r="B245" s="13" t="s">
        <v>360</v>
      </c>
      <c r="C245" s="13" t="s">
        <v>246</v>
      </c>
      <c r="D245" s="13">
        <v>4</v>
      </c>
      <c r="E245" s="13" t="s">
        <v>247</v>
      </c>
    </row>
    <row r="246" spans="1:5" x14ac:dyDescent="0.25">
      <c r="A246" s="13" t="s">
        <v>185</v>
      </c>
      <c r="B246" s="13" t="s">
        <v>360</v>
      </c>
      <c r="C246" s="13" t="s">
        <v>267</v>
      </c>
      <c r="D246" s="13">
        <v>2</v>
      </c>
      <c r="E246" s="13" t="s">
        <v>177</v>
      </c>
    </row>
    <row r="247" spans="1:5" x14ac:dyDescent="0.25">
      <c r="A247" s="13" t="s">
        <v>185</v>
      </c>
      <c r="B247" s="13" t="s">
        <v>360</v>
      </c>
      <c r="C247" s="13" t="s">
        <v>274</v>
      </c>
      <c r="D247" s="13">
        <v>2</v>
      </c>
      <c r="E247" s="13" t="s">
        <v>177</v>
      </c>
    </row>
    <row r="248" spans="1:5" x14ac:dyDescent="0.25">
      <c r="A248" s="13" t="s">
        <v>185</v>
      </c>
      <c r="B248" s="13" t="s">
        <v>360</v>
      </c>
      <c r="C248" s="13" t="s">
        <v>252</v>
      </c>
      <c r="D248" s="13">
        <v>1</v>
      </c>
      <c r="E248" s="13" t="s">
        <v>271</v>
      </c>
    </row>
    <row r="249" spans="1:5" x14ac:dyDescent="0.25">
      <c r="A249" s="13" t="s">
        <v>185</v>
      </c>
      <c r="B249" s="13" t="s">
        <v>360</v>
      </c>
      <c r="C249" s="13" t="s">
        <v>249</v>
      </c>
      <c r="D249" s="13">
        <v>1</v>
      </c>
      <c r="E249" s="13" t="s">
        <v>247</v>
      </c>
    </row>
    <row r="250" spans="1:5" x14ac:dyDescent="0.25">
      <c r="A250" s="13" t="s">
        <v>185</v>
      </c>
      <c r="B250" s="13" t="s">
        <v>361</v>
      </c>
      <c r="C250" s="13" t="s">
        <v>246</v>
      </c>
      <c r="D250" s="13">
        <v>4</v>
      </c>
      <c r="E250" s="13" t="s">
        <v>247</v>
      </c>
    </row>
    <row r="251" spans="1:5" x14ac:dyDescent="0.25">
      <c r="A251" s="13" t="s">
        <v>185</v>
      </c>
      <c r="B251" s="13" t="s">
        <v>361</v>
      </c>
      <c r="C251" s="13" t="s">
        <v>267</v>
      </c>
      <c r="D251" s="13">
        <v>2</v>
      </c>
      <c r="E251" s="13" t="s">
        <v>247</v>
      </c>
    </row>
    <row r="252" spans="1:5" x14ac:dyDescent="0.25">
      <c r="A252" s="13" t="s">
        <v>185</v>
      </c>
      <c r="B252" s="13" t="s">
        <v>361</v>
      </c>
      <c r="C252" s="13" t="s">
        <v>274</v>
      </c>
      <c r="D252" s="13">
        <v>1</v>
      </c>
      <c r="E252" s="13" t="s">
        <v>177</v>
      </c>
    </row>
    <row r="253" spans="1:5" x14ac:dyDescent="0.25">
      <c r="A253" s="13" t="s">
        <v>185</v>
      </c>
      <c r="B253" s="13" t="s">
        <v>361</v>
      </c>
      <c r="C253" s="13" t="s">
        <v>252</v>
      </c>
      <c r="D253" s="13">
        <v>1</v>
      </c>
      <c r="E253" s="13" t="s">
        <v>247</v>
      </c>
    </row>
    <row r="254" spans="1:5" x14ac:dyDescent="0.25">
      <c r="A254" s="13" t="s">
        <v>185</v>
      </c>
      <c r="B254" s="13" t="s">
        <v>362</v>
      </c>
      <c r="C254" s="13" t="s">
        <v>246</v>
      </c>
      <c r="D254" s="13">
        <v>4</v>
      </c>
      <c r="E254" s="13" t="s">
        <v>247</v>
      </c>
    </row>
    <row r="255" spans="1:5" x14ac:dyDescent="0.25">
      <c r="A255" s="13" t="s">
        <v>185</v>
      </c>
      <c r="B255" s="13" t="s">
        <v>362</v>
      </c>
      <c r="C255" s="13" t="s">
        <v>267</v>
      </c>
      <c r="D255" s="13">
        <v>4</v>
      </c>
      <c r="E255" s="13" t="s">
        <v>247</v>
      </c>
    </row>
    <row r="256" spans="1:5" x14ac:dyDescent="0.25">
      <c r="A256" s="13" t="s">
        <v>185</v>
      </c>
      <c r="B256" s="13" t="s">
        <v>362</v>
      </c>
      <c r="C256" s="13" t="s">
        <v>274</v>
      </c>
      <c r="D256" s="13">
        <v>3</v>
      </c>
      <c r="E256" s="13" t="s">
        <v>247</v>
      </c>
    </row>
    <row r="257" spans="1:5" x14ac:dyDescent="0.25">
      <c r="A257" s="13" t="s">
        <v>185</v>
      </c>
      <c r="B257" s="13" t="s">
        <v>362</v>
      </c>
      <c r="C257" s="13" t="s">
        <v>249</v>
      </c>
      <c r="D257" s="13">
        <v>2</v>
      </c>
      <c r="E257" s="13" t="s">
        <v>247</v>
      </c>
    </row>
    <row r="258" spans="1:5" x14ac:dyDescent="0.25">
      <c r="A258" s="13" t="s">
        <v>182</v>
      </c>
      <c r="B258" s="13" t="s">
        <v>363</v>
      </c>
      <c r="C258" s="13" t="s">
        <v>246</v>
      </c>
      <c r="D258" s="13">
        <v>5</v>
      </c>
      <c r="E258" s="13" t="s">
        <v>247</v>
      </c>
    </row>
    <row r="259" spans="1:5" x14ac:dyDescent="0.25">
      <c r="A259" s="13" t="s">
        <v>182</v>
      </c>
      <c r="B259" s="13" t="s">
        <v>363</v>
      </c>
      <c r="C259" s="13" t="s">
        <v>274</v>
      </c>
      <c r="D259" s="13">
        <v>3</v>
      </c>
      <c r="E259" s="13" t="s">
        <v>264</v>
      </c>
    </row>
    <row r="260" spans="1:5" x14ac:dyDescent="0.25">
      <c r="A260" s="13" t="s">
        <v>182</v>
      </c>
      <c r="B260" s="13" t="s">
        <v>363</v>
      </c>
      <c r="C260" s="13" t="s">
        <v>254</v>
      </c>
      <c r="D260" s="13">
        <v>1</v>
      </c>
      <c r="E260" s="13" t="s">
        <v>279</v>
      </c>
    </row>
    <row r="261" spans="1:5" x14ac:dyDescent="0.25">
      <c r="A261" s="13" t="s">
        <v>182</v>
      </c>
      <c r="B261" s="13" t="s">
        <v>364</v>
      </c>
      <c r="C261" s="13" t="s">
        <v>246</v>
      </c>
      <c r="D261" s="13">
        <v>4</v>
      </c>
      <c r="E261" s="13" t="s">
        <v>177</v>
      </c>
    </row>
    <row r="262" spans="1:5" x14ac:dyDescent="0.25">
      <c r="A262" s="13" t="s">
        <v>182</v>
      </c>
      <c r="B262" s="13" t="s">
        <v>365</v>
      </c>
      <c r="C262" s="13" t="s">
        <v>246</v>
      </c>
      <c r="D262" s="13">
        <v>4</v>
      </c>
      <c r="E262" s="13" t="s">
        <v>247</v>
      </c>
    </row>
    <row r="263" spans="1:5" x14ac:dyDescent="0.25">
      <c r="A263" s="13" t="s">
        <v>182</v>
      </c>
      <c r="B263" s="13" t="s">
        <v>365</v>
      </c>
      <c r="C263" s="13" t="s">
        <v>274</v>
      </c>
      <c r="D263" s="13">
        <v>1</v>
      </c>
      <c r="E263" s="13" t="s">
        <v>177</v>
      </c>
    </row>
    <row r="264" spans="1:5" x14ac:dyDescent="0.25">
      <c r="A264" s="13" t="s">
        <v>169</v>
      </c>
      <c r="B264" s="13" t="s">
        <v>366</v>
      </c>
      <c r="C264" s="13" t="s">
        <v>259</v>
      </c>
      <c r="D264" s="13">
        <v>1</v>
      </c>
      <c r="E264" s="13" t="s">
        <v>279</v>
      </c>
    </row>
    <row r="265" spans="1:5" x14ac:dyDescent="0.25">
      <c r="A265" s="13" t="s">
        <v>169</v>
      </c>
      <c r="B265" s="13" t="s">
        <v>366</v>
      </c>
      <c r="C265" s="13" t="s">
        <v>249</v>
      </c>
      <c r="D265" s="13">
        <v>1</v>
      </c>
      <c r="E265" s="13" t="s">
        <v>279</v>
      </c>
    </row>
    <row r="266" spans="1:5" x14ac:dyDescent="0.25">
      <c r="A266" s="13" t="s">
        <v>169</v>
      </c>
      <c r="B266" s="13" t="s">
        <v>367</v>
      </c>
      <c r="C266" s="13" t="s">
        <v>274</v>
      </c>
      <c r="D266" s="13">
        <v>2</v>
      </c>
      <c r="E266" s="13" t="s">
        <v>177</v>
      </c>
    </row>
    <row r="267" spans="1:5" x14ac:dyDescent="0.25">
      <c r="A267" s="13" t="s">
        <v>169</v>
      </c>
      <c r="B267" s="13" t="s">
        <v>368</v>
      </c>
      <c r="C267" s="13" t="s">
        <v>274</v>
      </c>
      <c r="D267" s="13">
        <v>4</v>
      </c>
      <c r="E267" s="13" t="s">
        <v>264</v>
      </c>
    </row>
    <row r="268" spans="1:5" x14ac:dyDescent="0.25">
      <c r="A268" s="13" t="s">
        <v>169</v>
      </c>
      <c r="B268" s="13" t="s">
        <v>368</v>
      </c>
      <c r="C268" s="13" t="s">
        <v>246</v>
      </c>
      <c r="D268" s="13">
        <v>3</v>
      </c>
      <c r="E268" s="13" t="s">
        <v>264</v>
      </c>
    </row>
    <row r="269" spans="1:5" x14ac:dyDescent="0.25">
      <c r="A269" s="13" t="s">
        <v>171</v>
      </c>
      <c r="B269" s="13" t="s">
        <v>369</v>
      </c>
      <c r="C269" s="13" t="s">
        <v>245</v>
      </c>
      <c r="D269" s="13">
        <v>3</v>
      </c>
      <c r="E269" s="13" t="s">
        <v>247</v>
      </c>
    </row>
    <row r="270" spans="1:5" x14ac:dyDescent="0.25">
      <c r="A270" s="13" t="s">
        <v>171</v>
      </c>
      <c r="B270" s="13" t="s">
        <v>369</v>
      </c>
      <c r="C270" s="13" t="s">
        <v>252</v>
      </c>
      <c r="D270" s="13">
        <v>2</v>
      </c>
      <c r="E270" s="13" t="s">
        <v>282</v>
      </c>
    </row>
    <row r="271" spans="1:5" x14ac:dyDescent="0.25">
      <c r="A271" s="13" t="s">
        <v>171</v>
      </c>
      <c r="B271" s="13" t="s">
        <v>369</v>
      </c>
      <c r="C271" s="13" t="s">
        <v>280</v>
      </c>
      <c r="D271" s="13">
        <v>2</v>
      </c>
      <c r="E271" s="13" t="s">
        <v>247</v>
      </c>
    </row>
    <row r="272" spans="1:5" x14ac:dyDescent="0.25">
      <c r="A272" s="13" t="s">
        <v>171</v>
      </c>
      <c r="B272" s="13" t="s">
        <v>369</v>
      </c>
      <c r="C272" s="13" t="s">
        <v>254</v>
      </c>
      <c r="D272" s="13">
        <v>1</v>
      </c>
      <c r="E272" s="13" t="s">
        <v>247</v>
      </c>
    </row>
    <row r="273" spans="1:5" x14ac:dyDescent="0.25">
      <c r="A273" s="13" t="s">
        <v>171</v>
      </c>
      <c r="B273" s="13" t="s">
        <v>369</v>
      </c>
      <c r="C273" s="13" t="s">
        <v>322</v>
      </c>
      <c r="D273" s="13">
        <v>3</v>
      </c>
      <c r="E273" s="13" t="s">
        <v>247</v>
      </c>
    </row>
    <row r="274" spans="1:5" x14ac:dyDescent="0.25">
      <c r="A274" s="13" t="s">
        <v>171</v>
      </c>
      <c r="B274" s="13" t="s">
        <v>370</v>
      </c>
      <c r="C274" s="13" t="s">
        <v>252</v>
      </c>
      <c r="D274" s="13">
        <v>3</v>
      </c>
      <c r="E274" s="13" t="s">
        <v>282</v>
      </c>
    </row>
    <row r="275" spans="1:5" x14ac:dyDescent="0.25">
      <c r="A275" s="13" t="s">
        <v>171</v>
      </c>
      <c r="B275" s="13" t="s">
        <v>370</v>
      </c>
      <c r="C275" s="13" t="s">
        <v>280</v>
      </c>
      <c r="D275" s="13">
        <v>3</v>
      </c>
      <c r="E275" s="13" t="s">
        <v>247</v>
      </c>
    </row>
    <row r="276" spans="1:5" x14ac:dyDescent="0.25">
      <c r="A276" s="13" t="s">
        <v>171</v>
      </c>
      <c r="B276" s="13" t="s">
        <v>370</v>
      </c>
      <c r="C276" s="13" t="s">
        <v>278</v>
      </c>
      <c r="D276" s="13">
        <v>4</v>
      </c>
      <c r="E276" s="13" t="s">
        <v>264</v>
      </c>
    </row>
    <row r="277" spans="1:5" x14ac:dyDescent="0.25">
      <c r="A277" s="13" t="s">
        <v>171</v>
      </c>
      <c r="B277" s="13" t="s">
        <v>370</v>
      </c>
      <c r="C277" s="13" t="s">
        <v>245</v>
      </c>
      <c r="D277" s="13">
        <v>3</v>
      </c>
      <c r="E277" s="13" t="s">
        <v>247</v>
      </c>
    </row>
    <row r="278" spans="1:5" x14ac:dyDescent="0.25">
      <c r="A278" s="13" t="s">
        <v>171</v>
      </c>
      <c r="B278" s="13" t="s">
        <v>370</v>
      </c>
      <c r="C278" s="13" t="s">
        <v>322</v>
      </c>
      <c r="D278" s="13">
        <v>2</v>
      </c>
      <c r="E278" s="13" t="s">
        <v>177</v>
      </c>
    </row>
    <row r="279" spans="1:5" x14ac:dyDescent="0.25">
      <c r="A279" s="13" t="s">
        <v>171</v>
      </c>
      <c r="B279" s="13" t="s">
        <v>371</v>
      </c>
      <c r="C279" s="13" t="s">
        <v>322</v>
      </c>
      <c r="D279" s="13">
        <v>3</v>
      </c>
      <c r="E279" s="13" t="s">
        <v>247</v>
      </c>
    </row>
    <row r="280" spans="1:5" x14ac:dyDescent="0.25">
      <c r="A280" s="13" t="s">
        <v>171</v>
      </c>
      <c r="B280" s="13" t="s">
        <v>371</v>
      </c>
      <c r="C280" s="13" t="s">
        <v>280</v>
      </c>
      <c r="D280" s="13">
        <v>3</v>
      </c>
      <c r="E280" s="13" t="s">
        <v>247</v>
      </c>
    </row>
    <row r="281" spans="1:5" x14ac:dyDescent="0.25">
      <c r="A281" s="13" t="s">
        <v>171</v>
      </c>
      <c r="B281" s="13" t="s">
        <v>371</v>
      </c>
      <c r="C281" s="13" t="s">
        <v>245</v>
      </c>
      <c r="D281" s="13">
        <v>3</v>
      </c>
      <c r="E281" s="13" t="s">
        <v>282</v>
      </c>
    </row>
    <row r="282" spans="1:5" x14ac:dyDescent="0.25">
      <c r="A282" s="13" t="s">
        <v>171</v>
      </c>
      <c r="B282" s="13" t="s">
        <v>371</v>
      </c>
      <c r="C282" s="13" t="s">
        <v>257</v>
      </c>
      <c r="D282" s="13">
        <v>1</v>
      </c>
      <c r="E282" s="13" t="s">
        <v>279</v>
      </c>
    </row>
    <row r="283" spans="1:5" x14ac:dyDescent="0.25">
      <c r="A283" s="13" t="s">
        <v>171</v>
      </c>
      <c r="B283" s="13" t="s">
        <v>371</v>
      </c>
      <c r="C283" s="13" t="s">
        <v>321</v>
      </c>
      <c r="D283" s="13">
        <v>1</v>
      </c>
      <c r="E283" s="13" t="s">
        <v>247</v>
      </c>
    </row>
    <row r="284" spans="1:5" s="19" customFormat="1" x14ac:dyDescent="0.25">
      <c r="A284" s="18" t="s">
        <v>171</v>
      </c>
      <c r="B284" s="18" t="s">
        <v>371</v>
      </c>
      <c r="C284" s="18" t="s">
        <v>372</v>
      </c>
      <c r="D284" s="18">
        <v>1</v>
      </c>
      <c r="E284" s="18" t="s">
        <v>247</v>
      </c>
    </row>
    <row r="285" spans="1:5" x14ac:dyDescent="0.25">
      <c r="A285" s="13" t="s">
        <v>171</v>
      </c>
      <c r="B285" s="13" t="s">
        <v>371</v>
      </c>
      <c r="C285" s="13" t="s">
        <v>254</v>
      </c>
      <c r="D285" s="13">
        <v>1</v>
      </c>
      <c r="E285" s="13" t="s">
        <v>247</v>
      </c>
    </row>
    <row r="286" spans="1:5" x14ac:dyDescent="0.25">
      <c r="A286" s="13" t="s">
        <v>175</v>
      </c>
      <c r="B286" s="13" t="s">
        <v>373</v>
      </c>
      <c r="C286" s="13" t="s">
        <v>249</v>
      </c>
      <c r="D286" s="13">
        <v>4</v>
      </c>
      <c r="E286" s="13" t="s">
        <v>177</v>
      </c>
    </row>
    <row r="287" spans="1:5" x14ac:dyDescent="0.25">
      <c r="A287" s="13" t="s">
        <v>175</v>
      </c>
      <c r="B287" s="13" t="s">
        <v>373</v>
      </c>
      <c r="C287" s="13" t="s">
        <v>332</v>
      </c>
      <c r="D287" s="13">
        <v>4</v>
      </c>
      <c r="E287" s="13" t="s">
        <v>247</v>
      </c>
    </row>
    <row r="288" spans="1:5" x14ac:dyDescent="0.25">
      <c r="A288" s="13" t="s">
        <v>175</v>
      </c>
      <c r="B288" s="13" t="s">
        <v>373</v>
      </c>
      <c r="C288" s="13" t="s">
        <v>253</v>
      </c>
      <c r="D288" s="13">
        <v>2</v>
      </c>
      <c r="E288" s="13" t="s">
        <v>247</v>
      </c>
    </row>
    <row r="289" spans="1:5" x14ac:dyDescent="0.25">
      <c r="A289" s="13" t="s">
        <v>175</v>
      </c>
      <c r="B289" s="13" t="s">
        <v>373</v>
      </c>
      <c r="C289" s="13" t="s">
        <v>254</v>
      </c>
      <c r="D289" s="13">
        <v>1</v>
      </c>
      <c r="E289" s="13" t="s">
        <v>247</v>
      </c>
    </row>
    <row r="290" spans="1:5" x14ac:dyDescent="0.25">
      <c r="A290" s="13" t="s">
        <v>175</v>
      </c>
      <c r="B290" s="13" t="s">
        <v>373</v>
      </c>
      <c r="C290" s="13" t="s">
        <v>252</v>
      </c>
      <c r="D290" s="13">
        <v>2</v>
      </c>
      <c r="E290" s="13" t="s">
        <v>247</v>
      </c>
    </row>
    <row r="291" spans="1:5" x14ac:dyDescent="0.25">
      <c r="A291" s="13" t="s">
        <v>175</v>
      </c>
      <c r="B291" s="13" t="s">
        <v>373</v>
      </c>
      <c r="C291" s="13" t="s">
        <v>278</v>
      </c>
      <c r="D291" s="13">
        <v>1</v>
      </c>
      <c r="E291" s="13" t="s">
        <v>271</v>
      </c>
    </row>
    <row r="292" spans="1:5" x14ac:dyDescent="0.25">
      <c r="A292" s="13" t="s">
        <v>175</v>
      </c>
      <c r="B292" s="13" t="s">
        <v>374</v>
      </c>
      <c r="C292" s="13" t="s">
        <v>249</v>
      </c>
      <c r="D292" s="13">
        <v>4</v>
      </c>
      <c r="E292" s="13" t="s">
        <v>177</v>
      </c>
    </row>
    <row r="293" spans="1:5" x14ac:dyDescent="0.25">
      <c r="A293" s="13" t="s">
        <v>175</v>
      </c>
      <c r="B293" s="13" t="s">
        <v>374</v>
      </c>
      <c r="C293" s="13" t="s">
        <v>254</v>
      </c>
      <c r="D293" s="13">
        <v>2</v>
      </c>
      <c r="E293" s="13" t="s">
        <v>247</v>
      </c>
    </row>
    <row r="294" spans="1:5" x14ac:dyDescent="0.25">
      <c r="A294" s="13" t="s">
        <v>175</v>
      </c>
      <c r="B294" s="13" t="s">
        <v>374</v>
      </c>
      <c r="C294" s="13" t="s">
        <v>253</v>
      </c>
      <c r="D294" s="13">
        <v>2</v>
      </c>
      <c r="E294" s="13" t="s">
        <v>247</v>
      </c>
    </row>
    <row r="295" spans="1:5" x14ac:dyDescent="0.25">
      <c r="A295" s="13" t="s">
        <v>175</v>
      </c>
      <c r="B295" s="13" t="s">
        <v>374</v>
      </c>
      <c r="C295" s="13" t="s">
        <v>252</v>
      </c>
      <c r="D295" s="13">
        <v>1</v>
      </c>
      <c r="E295" s="13" t="s">
        <v>271</v>
      </c>
    </row>
    <row r="296" spans="1:5" x14ac:dyDescent="0.25">
      <c r="A296" s="13" t="s">
        <v>175</v>
      </c>
      <c r="B296" s="13" t="s">
        <v>374</v>
      </c>
      <c r="C296" s="13" t="s">
        <v>278</v>
      </c>
      <c r="D296" s="13">
        <v>1</v>
      </c>
      <c r="E296" s="13" t="s">
        <v>247</v>
      </c>
    </row>
    <row r="297" spans="1:5" x14ac:dyDescent="0.25">
      <c r="A297" s="13" t="s">
        <v>175</v>
      </c>
      <c r="B297" s="13" t="s">
        <v>374</v>
      </c>
      <c r="C297" s="13" t="s">
        <v>332</v>
      </c>
      <c r="D297" s="13">
        <v>1</v>
      </c>
      <c r="E297" s="13" t="s">
        <v>279</v>
      </c>
    </row>
    <row r="298" spans="1:5" x14ac:dyDescent="0.25">
      <c r="A298" s="13" t="s">
        <v>175</v>
      </c>
      <c r="B298" s="13" t="s">
        <v>374</v>
      </c>
      <c r="C298" s="13" t="s">
        <v>245</v>
      </c>
      <c r="D298" s="13">
        <v>1</v>
      </c>
      <c r="E298" s="13" t="s">
        <v>247</v>
      </c>
    </row>
    <row r="299" spans="1:5" x14ac:dyDescent="0.25">
      <c r="A299" s="13" t="s">
        <v>175</v>
      </c>
      <c r="B299" s="13" t="s">
        <v>375</v>
      </c>
      <c r="C299" s="13" t="s">
        <v>249</v>
      </c>
      <c r="D299" s="13">
        <v>3</v>
      </c>
      <c r="E299" s="13" t="s">
        <v>271</v>
      </c>
    </row>
    <row r="300" spans="1:5" x14ac:dyDescent="0.25">
      <c r="A300" s="13" t="s">
        <v>175</v>
      </c>
      <c r="B300" s="13" t="s">
        <v>375</v>
      </c>
      <c r="C300" s="13" t="s">
        <v>253</v>
      </c>
      <c r="D300" s="13">
        <v>2</v>
      </c>
      <c r="E300" s="13" t="s">
        <v>271</v>
      </c>
    </row>
    <row r="301" spans="1:5" x14ac:dyDescent="0.25">
      <c r="A301" s="13" t="s">
        <v>181</v>
      </c>
      <c r="B301" s="13" t="s">
        <v>376</v>
      </c>
      <c r="C301" s="13" t="s">
        <v>246</v>
      </c>
      <c r="D301" s="13">
        <v>5</v>
      </c>
      <c r="E301" s="13" t="s">
        <v>177</v>
      </c>
    </row>
    <row r="302" spans="1:5" x14ac:dyDescent="0.25">
      <c r="A302" s="13" t="s">
        <v>181</v>
      </c>
      <c r="B302" s="13" t="s">
        <v>376</v>
      </c>
      <c r="C302" s="13" t="s">
        <v>274</v>
      </c>
      <c r="D302" s="13">
        <v>2</v>
      </c>
      <c r="E302" s="13" t="s">
        <v>264</v>
      </c>
    </row>
    <row r="303" spans="1:5" x14ac:dyDescent="0.25">
      <c r="A303" s="13" t="s">
        <v>181</v>
      </c>
      <c r="B303" s="13" t="s">
        <v>376</v>
      </c>
      <c r="C303" s="13" t="s">
        <v>252</v>
      </c>
      <c r="D303" s="13">
        <v>1</v>
      </c>
      <c r="E303" s="13" t="s">
        <v>279</v>
      </c>
    </row>
    <row r="304" spans="1:5" x14ac:dyDescent="0.25">
      <c r="A304" s="13" t="s">
        <v>181</v>
      </c>
      <c r="B304" s="13" t="s">
        <v>376</v>
      </c>
      <c r="C304" s="13" t="s">
        <v>273</v>
      </c>
      <c r="D304" s="13">
        <v>1</v>
      </c>
      <c r="E304" s="13" t="s">
        <v>247</v>
      </c>
    </row>
    <row r="305" spans="1:5" x14ac:dyDescent="0.25">
      <c r="A305" s="13" t="s">
        <v>181</v>
      </c>
      <c r="B305" s="13" t="s">
        <v>376</v>
      </c>
      <c r="C305" s="13" t="s">
        <v>259</v>
      </c>
      <c r="D305" s="13">
        <v>1</v>
      </c>
      <c r="E305" s="13" t="s">
        <v>271</v>
      </c>
    </row>
    <row r="306" spans="1:5" x14ac:dyDescent="0.25">
      <c r="A306" s="13" t="s">
        <v>181</v>
      </c>
      <c r="B306" s="13" t="s">
        <v>376</v>
      </c>
      <c r="C306" s="13" t="s">
        <v>334</v>
      </c>
      <c r="D306" s="13">
        <v>1</v>
      </c>
      <c r="E306" s="13" t="s">
        <v>282</v>
      </c>
    </row>
    <row r="307" spans="1:5" x14ac:dyDescent="0.25">
      <c r="A307" s="13" t="s">
        <v>181</v>
      </c>
      <c r="B307" s="13" t="s">
        <v>377</v>
      </c>
      <c r="C307" s="13" t="s">
        <v>246</v>
      </c>
      <c r="D307" s="13">
        <v>5</v>
      </c>
      <c r="E307" s="13" t="s">
        <v>264</v>
      </c>
    </row>
    <row r="308" spans="1:5" x14ac:dyDescent="0.25">
      <c r="A308" s="13" t="s">
        <v>181</v>
      </c>
      <c r="B308" s="13" t="s">
        <v>377</v>
      </c>
      <c r="C308" s="13" t="s">
        <v>252</v>
      </c>
      <c r="D308" s="13">
        <v>2</v>
      </c>
      <c r="E308" s="13" t="s">
        <v>282</v>
      </c>
    </row>
    <row r="309" spans="1:5" x14ac:dyDescent="0.25">
      <c r="A309" s="13" t="s">
        <v>181</v>
      </c>
      <c r="B309" s="13" t="s">
        <v>378</v>
      </c>
      <c r="C309" s="13" t="s">
        <v>246</v>
      </c>
      <c r="D309" s="13">
        <v>5</v>
      </c>
      <c r="E309" s="13" t="s">
        <v>247</v>
      </c>
    </row>
    <row r="310" spans="1:5" x14ac:dyDescent="0.25">
      <c r="A310" s="13" t="s">
        <v>181</v>
      </c>
      <c r="B310" s="13" t="s">
        <v>378</v>
      </c>
      <c r="C310" s="13" t="s">
        <v>259</v>
      </c>
      <c r="D310" s="13">
        <v>2</v>
      </c>
      <c r="E310" s="13" t="s">
        <v>264</v>
      </c>
    </row>
    <row r="311" spans="1:5" x14ac:dyDescent="0.25">
      <c r="A311" s="13" t="s">
        <v>181</v>
      </c>
      <c r="B311" s="13" t="s">
        <v>378</v>
      </c>
      <c r="C311" s="13" t="s">
        <v>334</v>
      </c>
      <c r="D311" s="13">
        <v>2</v>
      </c>
      <c r="E311" s="13" t="s">
        <v>247</v>
      </c>
    </row>
    <row r="312" spans="1:5" x14ac:dyDescent="0.25">
      <c r="A312" s="13" t="s">
        <v>181</v>
      </c>
      <c r="B312" s="13" t="s">
        <v>378</v>
      </c>
      <c r="C312" s="13" t="s">
        <v>249</v>
      </c>
      <c r="D312" s="13">
        <v>1</v>
      </c>
      <c r="E312" s="13" t="s">
        <v>271</v>
      </c>
    </row>
    <row r="313" spans="1:5" x14ac:dyDescent="0.25">
      <c r="A313" s="13" t="s">
        <v>181</v>
      </c>
      <c r="B313" s="13" t="s">
        <v>378</v>
      </c>
      <c r="C313" s="13" t="s">
        <v>252</v>
      </c>
      <c r="D313" s="13">
        <v>2</v>
      </c>
      <c r="E313" s="13" t="s">
        <v>282</v>
      </c>
    </row>
    <row r="314" spans="1:5" x14ac:dyDescent="0.25">
      <c r="A314" s="13" t="s">
        <v>181</v>
      </c>
      <c r="B314" s="13" t="s">
        <v>378</v>
      </c>
      <c r="C314" s="13" t="s">
        <v>254</v>
      </c>
      <c r="D314" s="13">
        <v>1</v>
      </c>
      <c r="E314" s="13" t="s">
        <v>247</v>
      </c>
    </row>
    <row r="315" spans="1:5" x14ac:dyDescent="0.25">
      <c r="A315" s="13" t="s">
        <v>184</v>
      </c>
      <c r="B315" s="13" t="s">
        <v>379</v>
      </c>
      <c r="C315" s="13" t="s">
        <v>246</v>
      </c>
      <c r="D315" s="13">
        <v>1</v>
      </c>
      <c r="E315" s="13" t="s">
        <v>177</v>
      </c>
    </row>
    <row r="316" spans="1:5" x14ac:dyDescent="0.25">
      <c r="A316" s="13" t="s">
        <v>184</v>
      </c>
      <c r="B316" s="13" t="s">
        <v>379</v>
      </c>
      <c r="C316" s="13" t="s">
        <v>274</v>
      </c>
      <c r="D316" s="13">
        <v>1</v>
      </c>
      <c r="E316" s="13" t="s">
        <v>271</v>
      </c>
    </row>
    <row r="317" spans="1:5" x14ac:dyDescent="0.25">
      <c r="A317" s="13" t="s">
        <v>184</v>
      </c>
      <c r="B317" s="13" t="s">
        <v>379</v>
      </c>
      <c r="C317" s="13" t="s">
        <v>273</v>
      </c>
      <c r="D317" s="13">
        <v>1</v>
      </c>
      <c r="E317" s="13" t="s">
        <v>247</v>
      </c>
    </row>
    <row r="318" spans="1:5" x14ac:dyDescent="0.25">
      <c r="A318" s="13" t="s">
        <v>184</v>
      </c>
      <c r="B318" s="13" t="s">
        <v>380</v>
      </c>
      <c r="C318" s="13" t="s">
        <v>246</v>
      </c>
      <c r="D318" s="13">
        <v>5</v>
      </c>
      <c r="E318" s="13" t="s">
        <v>247</v>
      </c>
    </row>
    <row r="319" spans="1:5" x14ac:dyDescent="0.25">
      <c r="A319" s="13" t="s">
        <v>184</v>
      </c>
      <c r="B319" s="13" t="s">
        <v>380</v>
      </c>
      <c r="C319" s="13" t="s">
        <v>252</v>
      </c>
      <c r="D319" s="13">
        <v>1</v>
      </c>
      <c r="E319" s="13" t="s">
        <v>247</v>
      </c>
    </row>
    <row r="320" spans="1:5" x14ac:dyDescent="0.25">
      <c r="A320" s="13" t="s">
        <v>184</v>
      </c>
      <c r="B320" s="13" t="s">
        <v>381</v>
      </c>
      <c r="C320" s="13" t="s">
        <v>246</v>
      </c>
      <c r="D320" s="13">
        <v>3</v>
      </c>
      <c r="E320" s="13" t="s">
        <v>247</v>
      </c>
    </row>
    <row r="321" spans="1:5" x14ac:dyDescent="0.25">
      <c r="A321" s="13" t="s">
        <v>172</v>
      </c>
      <c r="B321" s="13" t="s">
        <v>382</v>
      </c>
      <c r="C321" s="13" t="s">
        <v>319</v>
      </c>
      <c r="D321" s="13">
        <v>1</v>
      </c>
      <c r="E321" s="13" t="s">
        <v>282</v>
      </c>
    </row>
    <row r="322" spans="1:5" x14ac:dyDescent="0.25">
      <c r="A322" s="13" t="s">
        <v>172</v>
      </c>
      <c r="B322" s="13" t="s">
        <v>382</v>
      </c>
      <c r="C322" s="13" t="s">
        <v>334</v>
      </c>
      <c r="D322" s="13">
        <v>2</v>
      </c>
      <c r="E322" s="13" t="s">
        <v>247</v>
      </c>
    </row>
    <row r="323" spans="1:5" x14ac:dyDescent="0.25">
      <c r="A323" s="13" t="s">
        <v>172</v>
      </c>
      <c r="B323" s="13" t="s">
        <v>382</v>
      </c>
      <c r="C323" s="13" t="s">
        <v>267</v>
      </c>
      <c r="D323" s="13">
        <v>2</v>
      </c>
      <c r="E323" s="13" t="s">
        <v>177</v>
      </c>
    </row>
    <row r="324" spans="1:5" x14ac:dyDescent="0.25">
      <c r="A324" s="13" t="s">
        <v>172</v>
      </c>
      <c r="B324" s="13" t="s">
        <v>382</v>
      </c>
      <c r="C324" s="13" t="s">
        <v>245</v>
      </c>
      <c r="D324" s="13">
        <v>5</v>
      </c>
      <c r="E324" s="13" t="s">
        <v>264</v>
      </c>
    </row>
    <row r="325" spans="1:5" x14ac:dyDescent="0.25">
      <c r="A325" s="13" t="s">
        <v>172</v>
      </c>
      <c r="B325" s="13" t="s">
        <v>382</v>
      </c>
      <c r="C325" s="13" t="s">
        <v>253</v>
      </c>
      <c r="D325" s="13">
        <v>4</v>
      </c>
      <c r="E325" s="13" t="s">
        <v>177</v>
      </c>
    </row>
    <row r="326" spans="1:5" x14ac:dyDescent="0.25">
      <c r="A326" s="13" t="s">
        <v>172</v>
      </c>
      <c r="B326" s="13" t="s">
        <v>382</v>
      </c>
      <c r="C326" s="13" t="s">
        <v>249</v>
      </c>
      <c r="D326" s="13">
        <v>2</v>
      </c>
      <c r="E326" s="13" t="s">
        <v>264</v>
      </c>
    </row>
    <row r="327" spans="1:5" x14ac:dyDescent="0.25">
      <c r="A327" s="13" t="s">
        <v>172</v>
      </c>
      <c r="B327" s="13" t="s">
        <v>382</v>
      </c>
      <c r="C327" s="13" t="s">
        <v>248</v>
      </c>
      <c r="D327" s="13">
        <v>3</v>
      </c>
      <c r="E327" s="13" t="s">
        <v>264</v>
      </c>
    </row>
    <row r="328" spans="1:5" x14ac:dyDescent="0.25">
      <c r="A328" s="13" t="s">
        <v>172</v>
      </c>
      <c r="B328" s="13" t="s">
        <v>382</v>
      </c>
      <c r="C328" s="13" t="s">
        <v>252</v>
      </c>
      <c r="D328" s="13">
        <v>1</v>
      </c>
      <c r="E328" s="13" t="s">
        <v>279</v>
      </c>
    </row>
    <row r="329" spans="1:5" x14ac:dyDescent="0.25">
      <c r="A329" s="13" t="s">
        <v>172</v>
      </c>
      <c r="B329" s="13" t="s">
        <v>382</v>
      </c>
      <c r="C329" s="13" t="s">
        <v>254</v>
      </c>
      <c r="D329" s="13">
        <v>1</v>
      </c>
      <c r="E329" s="13" t="s">
        <v>247</v>
      </c>
    </row>
    <row r="330" spans="1:5" x14ac:dyDescent="0.25">
      <c r="A330" s="13" t="s">
        <v>172</v>
      </c>
      <c r="B330" s="13" t="s">
        <v>382</v>
      </c>
      <c r="C330" s="13" t="s">
        <v>383</v>
      </c>
      <c r="D330" s="13">
        <v>2</v>
      </c>
      <c r="E330" s="13" t="s">
        <v>264</v>
      </c>
    </row>
    <row r="331" spans="1:5" x14ac:dyDescent="0.25">
      <c r="A331" s="13" t="s">
        <v>172</v>
      </c>
      <c r="B331" s="13" t="s">
        <v>382</v>
      </c>
      <c r="C331" s="13" t="s">
        <v>325</v>
      </c>
      <c r="D331" s="13">
        <v>1</v>
      </c>
      <c r="E331" s="13" t="s">
        <v>271</v>
      </c>
    </row>
    <row r="332" spans="1:5" x14ac:dyDescent="0.25">
      <c r="A332" s="13" t="s">
        <v>172</v>
      </c>
      <c r="B332" s="13" t="s">
        <v>382</v>
      </c>
      <c r="C332" s="13" t="s">
        <v>280</v>
      </c>
      <c r="D332" s="13">
        <v>1</v>
      </c>
      <c r="E332" s="13" t="s">
        <v>264</v>
      </c>
    </row>
    <row r="333" spans="1:5" x14ac:dyDescent="0.25">
      <c r="A333" s="13" t="s">
        <v>172</v>
      </c>
      <c r="B333" s="13" t="s">
        <v>382</v>
      </c>
      <c r="C333" s="13" t="s">
        <v>348</v>
      </c>
      <c r="D333" s="13">
        <v>1</v>
      </c>
      <c r="E333" s="13" t="s">
        <v>264</v>
      </c>
    </row>
    <row r="334" spans="1:5" x14ac:dyDescent="0.25">
      <c r="A334" s="13" t="s">
        <v>172</v>
      </c>
      <c r="B334" s="13" t="s">
        <v>384</v>
      </c>
      <c r="C334" s="13" t="s">
        <v>280</v>
      </c>
      <c r="D334" s="13">
        <v>1</v>
      </c>
      <c r="E334" s="13" t="s">
        <v>247</v>
      </c>
    </row>
    <row r="335" spans="1:5" x14ac:dyDescent="0.25">
      <c r="A335" s="13" t="s">
        <v>172</v>
      </c>
      <c r="B335" s="13" t="s">
        <v>384</v>
      </c>
      <c r="C335" s="13" t="s">
        <v>322</v>
      </c>
      <c r="D335" s="13">
        <v>1</v>
      </c>
      <c r="E335" s="13" t="s">
        <v>247</v>
      </c>
    </row>
    <row r="336" spans="1:5" x14ac:dyDescent="0.25">
      <c r="A336" s="13" t="s">
        <v>172</v>
      </c>
      <c r="B336" s="13" t="s">
        <v>384</v>
      </c>
      <c r="C336" s="13" t="s">
        <v>252</v>
      </c>
      <c r="D336" s="13">
        <v>3</v>
      </c>
      <c r="E336" s="13" t="s">
        <v>264</v>
      </c>
    </row>
    <row r="337" spans="1:5" x14ac:dyDescent="0.25">
      <c r="A337" s="13" t="s">
        <v>172</v>
      </c>
      <c r="B337" s="13" t="s">
        <v>384</v>
      </c>
      <c r="C337" s="13" t="s">
        <v>249</v>
      </c>
      <c r="D337" s="13">
        <v>3</v>
      </c>
      <c r="E337" s="13" t="s">
        <v>247</v>
      </c>
    </row>
    <row r="338" spans="1:5" x14ac:dyDescent="0.25">
      <c r="A338" s="13" t="s">
        <v>172</v>
      </c>
      <c r="B338" s="13" t="s">
        <v>384</v>
      </c>
      <c r="C338" s="13" t="s">
        <v>278</v>
      </c>
      <c r="D338" s="13">
        <v>3</v>
      </c>
      <c r="E338" s="13" t="s">
        <v>271</v>
      </c>
    </row>
    <row r="339" spans="1:5" x14ac:dyDescent="0.25">
      <c r="A339" s="13" t="s">
        <v>172</v>
      </c>
      <c r="B339" s="13" t="s">
        <v>384</v>
      </c>
      <c r="C339" s="13" t="s">
        <v>245</v>
      </c>
      <c r="D339" s="13">
        <v>5</v>
      </c>
      <c r="E339" s="13" t="s">
        <v>177</v>
      </c>
    </row>
    <row r="340" spans="1:5" x14ac:dyDescent="0.25">
      <c r="A340" s="13" t="s">
        <v>172</v>
      </c>
      <c r="B340" s="13" t="s">
        <v>384</v>
      </c>
      <c r="C340" s="13" t="s">
        <v>248</v>
      </c>
      <c r="D340" s="13">
        <v>2</v>
      </c>
      <c r="E340" s="13" t="s">
        <v>247</v>
      </c>
    </row>
    <row r="341" spans="1:5" x14ac:dyDescent="0.25">
      <c r="A341" s="13" t="s">
        <v>172</v>
      </c>
      <c r="B341" s="13" t="s">
        <v>384</v>
      </c>
      <c r="C341" s="13" t="s">
        <v>254</v>
      </c>
      <c r="D341" s="13">
        <v>1</v>
      </c>
      <c r="E341" s="13" t="s">
        <v>247</v>
      </c>
    </row>
    <row r="342" spans="1:5" x14ac:dyDescent="0.25">
      <c r="A342" s="13" t="s">
        <v>172</v>
      </c>
      <c r="B342" s="13" t="s">
        <v>384</v>
      </c>
      <c r="C342" s="13" t="s">
        <v>348</v>
      </c>
      <c r="D342" s="13">
        <v>2</v>
      </c>
      <c r="E342" s="13" t="s">
        <v>282</v>
      </c>
    </row>
    <row r="343" spans="1:5" x14ac:dyDescent="0.25">
      <c r="A343" s="13" t="s">
        <v>172</v>
      </c>
      <c r="B343" s="13" t="s">
        <v>384</v>
      </c>
      <c r="C343" s="13" t="s">
        <v>352</v>
      </c>
      <c r="D343" s="13">
        <v>1</v>
      </c>
      <c r="E343" s="13" t="s">
        <v>271</v>
      </c>
    </row>
    <row r="344" spans="1:5" x14ac:dyDescent="0.25">
      <c r="A344" s="13" t="s">
        <v>172</v>
      </c>
      <c r="B344" s="13" t="s">
        <v>384</v>
      </c>
      <c r="C344" s="13" t="s">
        <v>332</v>
      </c>
      <c r="D344" s="13">
        <v>2</v>
      </c>
      <c r="E344" s="13" t="s">
        <v>264</v>
      </c>
    </row>
    <row r="345" spans="1:5" x14ac:dyDescent="0.25">
      <c r="A345" s="13" t="s">
        <v>172</v>
      </c>
      <c r="B345" s="13" t="s">
        <v>385</v>
      </c>
      <c r="C345" s="13" t="s">
        <v>322</v>
      </c>
      <c r="D345" s="13">
        <v>2</v>
      </c>
      <c r="E345" s="13" t="s">
        <v>247</v>
      </c>
    </row>
    <row r="346" spans="1:5" x14ac:dyDescent="0.25">
      <c r="A346" s="13" t="s">
        <v>172</v>
      </c>
      <c r="B346" s="13" t="s">
        <v>385</v>
      </c>
      <c r="C346" s="13" t="s">
        <v>252</v>
      </c>
      <c r="D346" s="13">
        <v>3</v>
      </c>
      <c r="E346" s="13" t="s">
        <v>271</v>
      </c>
    </row>
    <row r="347" spans="1:5" x14ac:dyDescent="0.25">
      <c r="A347" s="13" t="s">
        <v>172</v>
      </c>
      <c r="B347" s="13" t="s">
        <v>385</v>
      </c>
      <c r="C347" s="13" t="s">
        <v>245</v>
      </c>
      <c r="D347" s="13">
        <v>5</v>
      </c>
      <c r="E347" s="13" t="s">
        <v>177</v>
      </c>
    </row>
    <row r="348" spans="1:5" x14ac:dyDescent="0.25">
      <c r="A348" s="13" t="s">
        <v>172</v>
      </c>
      <c r="B348" s="13" t="s">
        <v>385</v>
      </c>
      <c r="C348" s="13" t="s">
        <v>278</v>
      </c>
      <c r="D348" s="13">
        <v>3</v>
      </c>
      <c r="E348" s="13" t="s">
        <v>271</v>
      </c>
    </row>
    <row r="349" spans="1:5" x14ac:dyDescent="0.25">
      <c r="A349" s="13" t="s">
        <v>172</v>
      </c>
      <c r="B349" s="13" t="s">
        <v>385</v>
      </c>
      <c r="C349" s="13" t="s">
        <v>280</v>
      </c>
      <c r="D349" s="13">
        <v>3</v>
      </c>
      <c r="E349" s="13" t="s">
        <v>247</v>
      </c>
    </row>
    <row r="350" spans="1:5" x14ac:dyDescent="0.25">
      <c r="A350" s="13" t="s">
        <v>172</v>
      </c>
      <c r="B350" s="13" t="s">
        <v>385</v>
      </c>
      <c r="C350" s="13" t="s">
        <v>248</v>
      </c>
      <c r="D350" s="13">
        <v>2</v>
      </c>
      <c r="E350" s="13" t="s">
        <v>264</v>
      </c>
    </row>
    <row r="351" spans="1:5" x14ac:dyDescent="0.25">
      <c r="A351" s="13" t="s">
        <v>172</v>
      </c>
      <c r="B351" s="13" t="s">
        <v>385</v>
      </c>
      <c r="C351" s="13" t="s">
        <v>352</v>
      </c>
      <c r="D351" s="13">
        <v>2</v>
      </c>
      <c r="E351" s="13" t="s">
        <v>279</v>
      </c>
    </row>
    <row r="352" spans="1:5" x14ac:dyDescent="0.25">
      <c r="A352" s="13" t="s">
        <v>172</v>
      </c>
      <c r="B352" s="13" t="s">
        <v>385</v>
      </c>
      <c r="C352" s="13" t="s">
        <v>332</v>
      </c>
      <c r="D352" s="13">
        <v>3</v>
      </c>
      <c r="E352" s="13" t="s">
        <v>177</v>
      </c>
    </row>
    <row r="353" spans="1:5" x14ac:dyDescent="0.25">
      <c r="A353" s="13" t="s">
        <v>172</v>
      </c>
      <c r="B353" s="13" t="s">
        <v>385</v>
      </c>
      <c r="C353" s="13" t="s">
        <v>254</v>
      </c>
      <c r="D353" s="13">
        <v>3</v>
      </c>
      <c r="E353" s="13" t="s">
        <v>177</v>
      </c>
    </row>
    <row r="354" spans="1:5" x14ac:dyDescent="0.25">
      <c r="A354" s="13" t="s">
        <v>173</v>
      </c>
      <c r="B354" s="13" t="s">
        <v>386</v>
      </c>
      <c r="C354" s="13" t="s">
        <v>252</v>
      </c>
      <c r="D354" s="13">
        <v>4</v>
      </c>
      <c r="E354" s="13" t="s">
        <v>264</v>
      </c>
    </row>
    <row r="355" spans="1:5" x14ac:dyDescent="0.25">
      <c r="A355" s="13" t="s">
        <v>173</v>
      </c>
      <c r="B355" s="13" t="s">
        <v>386</v>
      </c>
      <c r="C355" s="13" t="s">
        <v>254</v>
      </c>
      <c r="D355" s="13">
        <v>1</v>
      </c>
      <c r="E355" s="13" t="s">
        <v>247</v>
      </c>
    </row>
    <row r="356" spans="1:5" x14ac:dyDescent="0.25">
      <c r="A356" s="13" t="s">
        <v>173</v>
      </c>
      <c r="B356" s="13" t="s">
        <v>386</v>
      </c>
      <c r="C356" s="13" t="s">
        <v>245</v>
      </c>
      <c r="D356" s="13">
        <v>2</v>
      </c>
      <c r="E356" s="13" t="s">
        <v>247</v>
      </c>
    </row>
    <row r="357" spans="1:5" x14ac:dyDescent="0.25">
      <c r="A357" s="13" t="s">
        <v>173</v>
      </c>
      <c r="B357" s="13" t="s">
        <v>387</v>
      </c>
      <c r="C357" s="13" t="s">
        <v>278</v>
      </c>
      <c r="D357" s="13">
        <v>3</v>
      </c>
      <c r="E357" s="13" t="s">
        <v>247</v>
      </c>
    </row>
    <row r="358" spans="1:5" x14ac:dyDescent="0.25">
      <c r="A358" s="13" t="s">
        <v>173</v>
      </c>
      <c r="B358" s="13" t="s">
        <v>387</v>
      </c>
      <c r="C358" s="13" t="s">
        <v>245</v>
      </c>
      <c r="D358" s="13">
        <v>3</v>
      </c>
      <c r="E358" s="13" t="s">
        <v>247</v>
      </c>
    </row>
    <row r="359" spans="1:5" x14ac:dyDescent="0.25">
      <c r="A359" s="13" t="s">
        <v>173</v>
      </c>
      <c r="B359" s="13" t="s">
        <v>387</v>
      </c>
      <c r="C359" s="13" t="s">
        <v>334</v>
      </c>
      <c r="D359" s="13">
        <v>2</v>
      </c>
      <c r="E359" s="13" t="s">
        <v>247</v>
      </c>
    </row>
    <row r="360" spans="1:5" x14ac:dyDescent="0.25">
      <c r="A360" s="13" t="s">
        <v>173</v>
      </c>
      <c r="B360" s="13" t="s">
        <v>387</v>
      </c>
      <c r="C360" s="13" t="s">
        <v>254</v>
      </c>
      <c r="D360" s="13">
        <v>2</v>
      </c>
      <c r="E360" s="13" t="s">
        <v>247</v>
      </c>
    </row>
    <row r="361" spans="1:5" x14ac:dyDescent="0.25">
      <c r="A361" s="13" t="s">
        <v>173</v>
      </c>
      <c r="B361" s="13" t="s">
        <v>387</v>
      </c>
      <c r="C361" s="13" t="s">
        <v>249</v>
      </c>
      <c r="D361" s="13">
        <v>1</v>
      </c>
      <c r="E361" s="13" t="s">
        <v>247</v>
      </c>
    </row>
    <row r="362" spans="1:5" x14ac:dyDescent="0.25">
      <c r="A362" s="13" t="s">
        <v>173</v>
      </c>
      <c r="B362" s="13" t="s">
        <v>388</v>
      </c>
      <c r="C362" s="13" t="s">
        <v>254</v>
      </c>
      <c r="D362" s="13">
        <v>2</v>
      </c>
      <c r="E362" s="13" t="s">
        <v>247</v>
      </c>
    </row>
    <row r="363" spans="1:5" x14ac:dyDescent="0.25">
      <c r="A363" s="13" t="s">
        <v>173</v>
      </c>
      <c r="B363" s="13" t="s">
        <v>388</v>
      </c>
      <c r="C363" s="13" t="s">
        <v>252</v>
      </c>
      <c r="D363" s="13">
        <v>4</v>
      </c>
      <c r="E363" s="13" t="s">
        <v>247</v>
      </c>
    </row>
    <row r="364" spans="1:5" x14ac:dyDescent="0.25">
      <c r="A364" s="13" t="s">
        <v>173</v>
      </c>
      <c r="B364" s="13" t="s">
        <v>388</v>
      </c>
      <c r="C364" s="13" t="s">
        <v>245</v>
      </c>
      <c r="D364" s="13">
        <v>2</v>
      </c>
      <c r="E364" s="13" t="s">
        <v>247</v>
      </c>
    </row>
    <row r="365" spans="1:5" x14ac:dyDescent="0.25">
      <c r="A365" s="13" t="s">
        <v>173</v>
      </c>
      <c r="B365" s="13" t="s">
        <v>388</v>
      </c>
      <c r="C365" s="13" t="s">
        <v>332</v>
      </c>
      <c r="D365" s="13">
        <v>1</v>
      </c>
      <c r="E365" s="13" t="s">
        <v>247</v>
      </c>
    </row>
    <row r="366" spans="1:5" x14ac:dyDescent="0.25">
      <c r="A366" s="13" t="s">
        <v>163</v>
      </c>
      <c r="B366" s="13" t="s">
        <v>389</v>
      </c>
      <c r="C366" s="13" t="s">
        <v>249</v>
      </c>
      <c r="D366" s="13">
        <v>1</v>
      </c>
      <c r="E366" s="13" t="s">
        <v>279</v>
      </c>
    </row>
    <row r="367" spans="1:5" x14ac:dyDescent="0.25">
      <c r="A367" s="13" t="s">
        <v>163</v>
      </c>
      <c r="B367" s="13" t="s">
        <v>390</v>
      </c>
      <c r="C367" s="13" t="s">
        <v>246</v>
      </c>
      <c r="D367" s="13">
        <v>3</v>
      </c>
      <c r="E367" s="13" t="s">
        <v>271</v>
      </c>
    </row>
    <row r="368" spans="1:5" x14ac:dyDescent="0.25">
      <c r="A368" s="13" t="s">
        <v>165</v>
      </c>
      <c r="B368" s="13" t="s">
        <v>391</v>
      </c>
      <c r="C368" s="13" t="s">
        <v>246</v>
      </c>
      <c r="D368" s="13">
        <v>2</v>
      </c>
      <c r="E368" s="13" t="s">
        <v>264</v>
      </c>
    </row>
    <row r="369" spans="1:5" x14ac:dyDescent="0.25">
      <c r="A369" s="13" t="s">
        <v>165</v>
      </c>
      <c r="B369" s="13" t="s">
        <v>391</v>
      </c>
      <c r="C369" s="13" t="s">
        <v>245</v>
      </c>
      <c r="D369" s="13">
        <v>3</v>
      </c>
      <c r="E369" s="13" t="s">
        <v>247</v>
      </c>
    </row>
    <row r="370" spans="1:5" x14ac:dyDescent="0.25">
      <c r="A370" s="13" t="s">
        <v>165</v>
      </c>
      <c r="B370" s="13" t="s">
        <v>391</v>
      </c>
      <c r="C370" s="13" t="s">
        <v>254</v>
      </c>
      <c r="D370" s="13">
        <v>2</v>
      </c>
      <c r="E370" s="13" t="s">
        <v>271</v>
      </c>
    </row>
    <row r="371" spans="1:5" x14ac:dyDescent="0.25">
      <c r="A371" s="13" t="s">
        <v>165</v>
      </c>
      <c r="B371" s="13" t="s">
        <v>392</v>
      </c>
      <c r="C371" s="13" t="s">
        <v>245</v>
      </c>
      <c r="D371" s="13">
        <v>3</v>
      </c>
      <c r="E371" s="13" t="s">
        <v>247</v>
      </c>
    </row>
    <row r="372" spans="1:5" x14ac:dyDescent="0.25">
      <c r="A372" s="13" t="s">
        <v>165</v>
      </c>
      <c r="B372" s="13" t="s">
        <v>393</v>
      </c>
      <c r="C372" s="13" t="s">
        <v>246</v>
      </c>
      <c r="D372" s="13">
        <v>3</v>
      </c>
      <c r="E372" s="13" t="s">
        <v>247</v>
      </c>
    </row>
    <row r="373" spans="1:5" x14ac:dyDescent="0.25">
      <c r="A373" s="13" t="s">
        <v>165</v>
      </c>
      <c r="B373" s="13" t="s">
        <v>393</v>
      </c>
      <c r="C373" s="13" t="s">
        <v>273</v>
      </c>
      <c r="D373" s="13">
        <v>2</v>
      </c>
      <c r="E373" s="13" t="s">
        <v>177</v>
      </c>
    </row>
    <row r="374" spans="1:5" x14ac:dyDescent="0.25">
      <c r="A374" s="13" t="s">
        <v>165</v>
      </c>
      <c r="B374" s="13" t="s">
        <v>393</v>
      </c>
      <c r="C374" s="13" t="s">
        <v>245</v>
      </c>
      <c r="D374" s="13">
        <v>2</v>
      </c>
      <c r="E374" s="13" t="s">
        <v>247</v>
      </c>
    </row>
    <row r="375" spans="1:5" x14ac:dyDescent="0.25">
      <c r="A375" s="13" t="s">
        <v>165</v>
      </c>
      <c r="B375" s="13" t="s">
        <v>393</v>
      </c>
      <c r="C375" s="13" t="s">
        <v>253</v>
      </c>
      <c r="D375" s="13">
        <v>1</v>
      </c>
      <c r="E375" s="13" t="s">
        <v>247</v>
      </c>
    </row>
    <row r="376" spans="1:5" x14ac:dyDescent="0.25">
      <c r="A376" s="13" t="s">
        <v>162</v>
      </c>
      <c r="B376" s="13" t="s">
        <v>394</v>
      </c>
      <c r="C376" s="13" t="s">
        <v>249</v>
      </c>
      <c r="D376" s="13">
        <v>4</v>
      </c>
      <c r="E376" s="13" t="s">
        <v>271</v>
      </c>
    </row>
    <row r="377" spans="1:5" x14ac:dyDescent="0.25">
      <c r="A377" s="13" t="s">
        <v>162</v>
      </c>
      <c r="B377" s="13" t="s">
        <v>395</v>
      </c>
      <c r="C377" s="13" t="s">
        <v>249</v>
      </c>
      <c r="D377" s="13">
        <v>2</v>
      </c>
      <c r="E377" s="13" t="s">
        <v>264</v>
      </c>
    </row>
    <row r="378" spans="1:5" x14ac:dyDescent="0.25">
      <c r="A378" s="13" t="s">
        <v>162</v>
      </c>
      <c r="B378" s="13" t="s">
        <v>396</v>
      </c>
      <c r="C378" s="13" t="s">
        <v>249</v>
      </c>
      <c r="D378" s="13">
        <v>4</v>
      </c>
      <c r="E378" s="13" t="s">
        <v>271</v>
      </c>
    </row>
    <row r="379" spans="1:5" x14ac:dyDescent="0.25">
      <c r="A379" s="13" t="s">
        <v>166</v>
      </c>
      <c r="B379" s="13" t="s">
        <v>397</v>
      </c>
      <c r="C379" s="13" t="s">
        <v>246</v>
      </c>
      <c r="D379" s="13">
        <v>2</v>
      </c>
      <c r="E379" s="13" t="s">
        <v>271</v>
      </c>
    </row>
    <row r="380" spans="1:5" x14ac:dyDescent="0.25">
      <c r="A380" s="13" t="s">
        <v>166</v>
      </c>
      <c r="B380" s="13" t="s">
        <v>397</v>
      </c>
      <c r="C380" s="13" t="s">
        <v>269</v>
      </c>
      <c r="D380" s="13">
        <v>3</v>
      </c>
      <c r="E380" s="13" t="s">
        <v>282</v>
      </c>
    </row>
    <row r="381" spans="1:5" x14ac:dyDescent="0.25">
      <c r="A381" s="13" t="s">
        <v>166</v>
      </c>
      <c r="B381" s="13" t="s">
        <v>397</v>
      </c>
      <c r="C381" s="13" t="s">
        <v>274</v>
      </c>
      <c r="D381" s="13">
        <v>1</v>
      </c>
      <c r="E381" s="13" t="s">
        <v>247</v>
      </c>
    </row>
    <row r="382" spans="1:5" x14ac:dyDescent="0.25">
      <c r="A382" s="13" t="s">
        <v>166</v>
      </c>
      <c r="B382" s="13" t="s">
        <v>397</v>
      </c>
      <c r="C382" s="13" t="s">
        <v>259</v>
      </c>
      <c r="D382" s="13">
        <v>1</v>
      </c>
      <c r="E382" s="13" t="s">
        <v>282</v>
      </c>
    </row>
    <row r="383" spans="1:5" x14ac:dyDescent="0.25">
      <c r="A383" s="13" t="s">
        <v>166</v>
      </c>
      <c r="B383" s="13" t="s">
        <v>397</v>
      </c>
      <c r="C383" s="13" t="s">
        <v>254</v>
      </c>
      <c r="D383" s="13">
        <v>1</v>
      </c>
      <c r="E383" s="13" t="s">
        <v>279</v>
      </c>
    </row>
    <row r="384" spans="1:5" x14ac:dyDescent="0.25">
      <c r="A384" s="13" t="s">
        <v>166</v>
      </c>
      <c r="B384" s="13" t="s">
        <v>398</v>
      </c>
      <c r="C384" s="13" t="s">
        <v>274</v>
      </c>
      <c r="D384" s="13">
        <v>5</v>
      </c>
      <c r="E384" s="13" t="s">
        <v>279</v>
      </c>
    </row>
    <row r="385" spans="1:5" x14ac:dyDescent="0.25">
      <c r="A385" s="13" t="s">
        <v>166</v>
      </c>
      <c r="B385" s="13" t="s">
        <v>398</v>
      </c>
      <c r="C385" s="13" t="s">
        <v>269</v>
      </c>
      <c r="D385" s="13">
        <v>3</v>
      </c>
      <c r="E385" s="13" t="s">
        <v>279</v>
      </c>
    </row>
    <row r="386" spans="1:5" x14ac:dyDescent="0.25">
      <c r="A386" s="13" t="s">
        <v>166</v>
      </c>
      <c r="B386" s="13" t="s">
        <v>398</v>
      </c>
      <c r="C386" s="13" t="s">
        <v>383</v>
      </c>
      <c r="D386" s="13">
        <v>2</v>
      </c>
      <c r="E386" s="13" t="s">
        <v>247</v>
      </c>
    </row>
    <row r="387" spans="1:5" x14ac:dyDescent="0.25">
      <c r="A387" s="13" t="s">
        <v>166</v>
      </c>
      <c r="B387" s="13" t="s">
        <v>398</v>
      </c>
      <c r="C387" s="13" t="s">
        <v>399</v>
      </c>
      <c r="D387" s="13">
        <v>3</v>
      </c>
      <c r="E387" s="13" t="s">
        <v>247</v>
      </c>
    </row>
    <row r="388" spans="1:5" x14ac:dyDescent="0.25">
      <c r="A388" s="13" t="s">
        <v>166</v>
      </c>
      <c r="B388" s="13" t="s">
        <v>398</v>
      </c>
      <c r="C388" s="13" t="s">
        <v>246</v>
      </c>
      <c r="D388" s="13">
        <v>3</v>
      </c>
      <c r="E388" s="13" t="s">
        <v>264</v>
      </c>
    </row>
    <row r="389" spans="1:5" x14ac:dyDescent="0.25">
      <c r="A389" s="13" t="s">
        <v>166</v>
      </c>
      <c r="B389" s="13" t="s">
        <v>400</v>
      </c>
      <c r="C389" s="13" t="s">
        <v>274</v>
      </c>
      <c r="D389" s="13">
        <v>4</v>
      </c>
      <c r="E389" s="13" t="s">
        <v>282</v>
      </c>
    </row>
    <row r="390" spans="1:5" x14ac:dyDescent="0.25">
      <c r="A390" s="13" t="s">
        <v>166</v>
      </c>
      <c r="B390" s="13" t="s">
        <v>400</v>
      </c>
      <c r="C390" s="13" t="s">
        <v>246</v>
      </c>
      <c r="D390" s="13">
        <v>1</v>
      </c>
      <c r="E390" s="13" t="s">
        <v>247</v>
      </c>
    </row>
    <row r="391" spans="1:5" x14ac:dyDescent="0.25">
      <c r="A391" s="13" t="s">
        <v>166</v>
      </c>
      <c r="B391" s="13" t="s">
        <v>400</v>
      </c>
      <c r="C391" s="13" t="s">
        <v>383</v>
      </c>
      <c r="D391" s="13">
        <v>1</v>
      </c>
      <c r="E391" s="13" t="s">
        <v>271</v>
      </c>
    </row>
    <row r="392" spans="1:5" x14ac:dyDescent="0.25">
      <c r="A392" s="13" t="s">
        <v>166</v>
      </c>
      <c r="B392" s="13" t="s">
        <v>400</v>
      </c>
      <c r="C392" s="13" t="s">
        <v>269</v>
      </c>
      <c r="D392" s="13">
        <v>2</v>
      </c>
      <c r="E392" s="13" t="s">
        <v>271</v>
      </c>
    </row>
    <row r="393" spans="1:5" x14ac:dyDescent="0.25">
      <c r="A393" s="13" t="s">
        <v>167</v>
      </c>
      <c r="B393" s="13" t="s">
        <v>401</v>
      </c>
      <c r="C393" s="13" t="s">
        <v>273</v>
      </c>
      <c r="D393" s="13">
        <v>1</v>
      </c>
      <c r="E393" s="13" t="s">
        <v>247</v>
      </c>
    </row>
    <row r="394" spans="1:5" x14ac:dyDescent="0.25">
      <c r="A394" s="13" t="s">
        <v>167</v>
      </c>
      <c r="B394" s="13" t="s">
        <v>401</v>
      </c>
      <c r="C394" s="13" t="s">
        <v>254</v>
      </c>
      <c r="D394" s="13">
        <v>3</v>
      </c>
      <c r="E394" s="13" t="s">
        <v>247</v>
      </c>
    </row>
    <row r="395" spans="1:5" x14ac:dyDescent="0.25">
      <c r="A395" s="13" t="s">
        <v>167</v>
      </c>
      <c r="B395" s="13" t="s">
        <v>401</v>
      </c>
      <c r="C395" s="13" t="s">
        <v>332</v>
      </c>
      <c r="D395" s="13">
        <v>1</v>
      </c>
      <c r="E395" s="13" t="s">
        <v>247</v>
      </c>
    </row>
    <row r="396" spans="1:5" x14ac:dyDescent="0.25">
      <c r="A396" s="13" t="s">
        <v>167</v>
      </c>
      <c r="B396" s="13" t="s">
        <v>401</v>
      </c>
      <c r="C396" s="13" t="s">
        <v>246</v>
      </c>
      <c r="D396" s="13">
        <v>4</v>
      </c>
      <c r="E396" s="13" t="s">
        <v>247</v>
      </c>
    </row>
    <row r="397" spans="1:5" x14ac:dyDescent="0.25">
      <c r="A397" s="13" t="s">
        <v>167</v>
      </c>
      <c r="B397" s="13" t="s">
        <v>401</v>
      </c>
      <c r="C397" s="13" t="s">
        <v>402</v>
      </c>
      <c r="D397" s="13">
        <v>2</v>
      </c>
      <c r="E397" s="13" t="s">
        <v>247</v>
      </c>
    </row>
    <row r="398" spans="1:5" x14ac:dyDescent="0.25">
      <c r="A398" s="13" t="s">
        <v>167</v>
      </c>
      <c r="B398" s="13" t="s">
        <v>401</v>
      </c>
      <c r="C398" s="13" t="s">
        <v>252</v>
      </c>
      <c r="D398" s="13">
        <v>2</v>
      </c>
      <c r="E398" s="13" t="s">
        <v>264</v>
      </c>
    </row>
    <row r="399" spans="1:5" x14ac:dyDescent="0.25">
      <c r="A399" s="13" t="s">
        <v>167</v>
      </c>
      <c r="B399" s="13" t="s">
        <v>401</v>
      </c>
      <c r="C399" s="13" t="s">
        <v>259</v>
      </c>
      <c r="D399" s="13">
        <v>1</v>
      </c>
      <c r="E399" s="13" t="s">
        <v>271</v>
      </c>
    </row>
    <row r="400" spans="1:5" x14ac:dyDescent="0.25">
      <c r="A400" s="13" t="s">
        <v>167</v>
      </c>
      <c r="B400" s="13" t="s">
        <v>403</v>
      </c>
      <c r="C400" s="13" t="s">
        <v>254</v>
      </c>
      <c r="D400" s="13">
        <v>3</v>
      </c>
      <c r="E400" s="13" t="s">
        <v>247</v>
      </c>
    </row>
    <row r="401" spans="1:5" x14ac:dyDescent="0.25">
      <c r="A401" s="13" t="s">
        <v>167</v>
      </c>
      <c r="B401" s="13" t="s">
        <v>403</v>
      </c>
      <c r="C401" s="13" t="s">
        <v>246</v>
      </c>
      <c r="D401" s="13">
        <v>3</v>
      </c>
      <c r="E401" s="13" t="s">
        <v>247</v>
      </c>
    </row>
    <row r="402" spans="1:5" x14ac:dyDescent="0.25">
      <c r="A402" s="13" t="s">
        <v>167</v>
      </c>
      <c r="B402" s="13" t="s">
        <v>403</v>
      </c>
      <c r="C402" s="13" t="s">
        <v>252</v>
      </c>
      <c r="D402" s="13">
        <v>2</v>
      </c>
      <c r="E402" s="13" t="s">
        <v>264</v>
      </c>
    </row>
    <row r="403" spans="1:5" x14ac:dyDescent="0.25">
      <c r="A403" s="13" t="s">
        <v>167</v>
      </c>
      <c r="B403" s="13" t="s">
        <v>403</v>
      </c>
      <c r="C403" s="13" t="s">
        <v>278</v>
      </c>
      <c r="D403" s="13">
        <v>1</v>
      </c>
      <c r="E403" s="13" t="s">
        <v>264</v>
      </c>
    </row>
    <row r="404" spans="1:5" x14ac:dyDescent="0.25">
      <c r="A404" s="13" t="s">
        <v>167</v>
      </c>
      <c r="B404" s="13" t="s">
        <v>404</v>
      </c>
      <c r="C404" s="13" t="s">
        <v>246</v>
      </c>
      <c r="D404" s="13">
        <v>6</v>
      </c>
      <c r="E404" s="13" t="s">
        <v>247</v>
      </c>
    </row>
    <row r="405" spans="1:5" x14ac:dyDescent="0.25">
      <c r="A405" s="13" t="s">
        <v>167</v>
      </c>
      <c r="B405" s="13" t="s">
        <v>404</v>
      </c>
      <c r="C405" s="13" t="s">
        <v>254</v>
      </c>
      <c r="D405" s="13">
        <v>2</v>
      </c>
      <c r="E405" s="13" t="s">
        <v>247</v>
      </c>
    </row>
    <row r="406" spans="1:5" x14ac:dyDescent="0.25">
      <c r="A406" s="13" t="s">
        <v>167</v>
      </c>
      <c r="B406" s="13" t="s">
        <v>404</v>
      </c>
      <c r="C406" s="13" t="s">
        <v>252</v>
      </c>
      <c r="D406" s="13">
        <v>2</v>
      </c>
      <c r="E406" s="13" t="s">
        <v>282</v>
      </c>
    </row>
    <row r="407" spans="1:5" x14ac:dyDescent="0.25">
      <c r="A407" s="13" t="s">
        <v>186</v>
      </c>
      <c r="B407" s="13" t="s">
        <v>405</v>
      </c>
      <c r="C407" s="13" t="s">
        <v>246</v>
      </c>
      <c r="D407" s="13">
        <v>2</v>
      </c>
      <c r="E407" s="13" t="s">
        <v>247</v>
      </c>
    </row>
    <row r="408" spans="1:5" x14ac:dyDescent="0.25">
      <c r="A408" s="13" t="s">
        <v>186</v>
      </c>
      <c r="B408" s="13" t="s">
        <v>405</v>
      </c>
      <c r="C408" s="13" t="s">
        <v>249</v>
      </c>
      <c r="D408" s="13">
        <v>3</v>
      </c>
      <c r="E408" s="13" t="s">
        <v>177</v>
      </c>
    </row>
    <row r="409" spans="1:5" x14ac:dyDescent="0.25">
      <c r="A409" s="13" t="s">
        <v>186</v>
      </c>
      <c r="B409" s="13" t="s">
        <v>406</v>
      </c>
      <c r="C409" s="13" t="s">
        <v>249</v>
      </c>
      <c r="D409" s="13">
        <v>3</v>
      </c>
      <c r="E409" s="13" t="s">
        <v>264</v>
      </c>
    </row>
    <row r="410" spans="1:5" x14ac:dyDescent="0.25">
      <c r="A410" s="13" t="s">
        <v>186</v>
      </c>
      <c r="B410" s="13" t="s">
        <v>406</v>
      </c>
      <c r="C410" s="13" t="s">
        <v>246</v>
      </c>
      <c r="D410" s="13">
        <v>3</v>
      </c>
      <c r="E410" s="13" t="s">
        <v>264</v>
      </c>
    </row>
    <row r="411" spans="1:5" x14ac:dyDescent="0.25">
      <c r="A411" s="13" t="s">
        <v>186</v>
      </c>
      <c r="B411" s="13" t="s">
        <v>407</v>
      </c>
      <c r="C411" s="13" t="s">
        <v>249</v>
      </c>
      <c r="D411" s="13">
        <v>5</v>
      </c>
      <c r="E411" s="13" t="s">
        <v>282</v>
      </c>
    </row>
    <row r="412" spans="1:5" x14ac:dyDescent="0.25">
      <c r="A412" s="13" t="s">
        <v>154</v>
      </c>
      <c r="B412" s="13" t="s">
        <v>408</v>
      </c>
      <c r="C412" s="13" t="s">
        <v>332</v>
      </c>
      <c r="D412" s="13">
        <v>3</v>
      </c>
      <c r="E412" s="13" t="s">
        <v>247</v>
      </c>
    </row>
    <row r="413" spans="1:5" x14ac:dyDescent="0.25">
      <c r="A413" s="13" t="s">
        <v>154</v>
      </c>
      <c r="B413" s="13" t="s">
        <v>408</v>
      </c>
      <c r="C413" s="13" t="s">
        <v>246</v>
      </c>
      <c r="D413" s="13">
        <v>1</v>
      </c>
      <c r="E413" s="13" t="s">
        <v>247</v>
      </c>
    </row>
    <row r="414" spans="1:5" x14ac:dyDescent="0.25">
      <c r="A414" s="13" t="s">
        <v>154</v>
      </c>
      <c r="B414" s="13" t="s">
        <v>408</v>
      </c>
      <c r="C414" s="13" t="s">
        <v>252</v>
      </c>
      <c r="D414" s="13">
        <v>1</v>
      </c>
      <c r="E414" s="13" t="s">
        <v>279</v>
      </c>
    </row>
    <row r="415" spans="1:5" x14ac:dyDescent="0.25">
      <c r="A415" s="13" t="s">
        <v>154</v>
      </c>
      <c r="B415" s="13" t="s">
        <v>408</v>
      </c>
      <c r="C415" s="13" t="s">
        <v>273</v>
      </c>
      <c r="D415" s="13">
        <v>1</v>
      </c>
      <c r="E415" s="13" t="s">
        <v>247</v>
      </c>
    </row>
    <row r="416" spans="1:5" x14ac:dyDescent="0.25">
      <c r="A416" s="13" t="s">
        <v>154</v>
      </c>
      <c r="B416" s="13" t="s">
        <v>409</v>
      </c>
      <c r="C416" s="13" t="s">
        <v>246</v>
      </c>
      <c r="D416" s="13">
        <v>3</v>
      </c>
      <c r="E416" s="13" t="s">
        <v>271</v>
      </c>
    </row>
    <row r="417" spans="1:5" x14ac:dyDescent="0.25">
      <c r="A417" s="13" t="s">
        <v>154</v>
      </c>
      <c r="B417" s="13" t="s">
        <v>409</v>
      </c>
      <c r="C417" s="13" t="s">
        <v>252</v>
      </c>
      <c r="D417" s="13">
        <v>2</v>
      </c>
      <c r="E417" s="13" t="s">
        <v>177</v>
      </c>
    </row>
    <row r="418" spans="1:5" x14ac:dyDescent="0.25">
      <c r="A418" s="13" t="s">
        <v>154</v>
      </c>
      <c r="B418" s="13" t="s">
        <v>409</v>
      </c>
      <c r="C418" s="13" t="s">
        <v>332</v>
      </c>
      <c r="D418" s="13">
        <v>2</v>
      </c>
      <c r="E418" s="13" t="s">
        <v>247</v>
      </c>
    </row>
    <row r="419" spans="1:5" x14ac:dyDescent="0.25">
      <c r="A419" s="13" t="s">
        <v>154</v>
      </c>
      <c r="B419" s="13" t="s">
        <v>409</v>
      </c>
      <c r="C419" s="13" t="s">
        <v>245</v>
      </c>
      <c r="D419" s="13">
        <v>2</v>
      </c>
      <c r="E419" s="13" t="s">
        <v>264</v>
      </c>
    </row>
    <row r="420" spans="1:5" x14ac:dyDescent="0.25">
      <c r="A420" s="13" t="s">
        <v>154</v>
      </c>
      <c r="B420" s="13" t="s">
        <v>409</v>
      </c>
      <c r="C420" s="13" t="s">
        <v>348</v>
      </c>
      <c r="D420" s="13">
        <v>1</v>
      </c>
      <c r="E420" s="13" t="s">
        <v>264</v>
      </c>
    </row>
    <row r="421" spans="1:5" x14ac:dyDescent="0.25">
      <c r="A421" s="13" t="s">
        <v>154</v>
      </c>
      <c r="B421" s="13" t="s">
        <v>410</v>
      </c>
      <c r="C421" s="13" t="s">
        <v>332</v>
      </c>
      <c r="D421" s="13">
        <v>3</v>
      </c>
      <c r="E421" s="13" t="s">
        <v>177</v>
      </c>
    </row>
    <row r="422" spans="1:5" x14ac:dyDescent="0.25">
      <c r="A422" s="13" t="s">
        <v>154</v>
      </c>
      <c r="B422" s="13" t="s">
        <v>410</v>
      </c>
      <c r="C422" s="13" t="s">
        <v>245</v>
      </c>
      <c r="D422" s="13">
        <v>2</v>
      </c>
      <c r="E422" s="13" t="s">
        <v>177</v>
      </c>
    </row>
    <row r="423" spans="1:5" x14ac:dyDescent="0.25">
      <c r="A423" s="13" t="s">
        <v>154</v>
      </c>
      <c r="B423" s="13" t="s">
        <v>410</v>
      </c>
      <c r="C423" s="13" t="s">
        <v>252</v>
      </c>
      <c r="D423" s="13">
        <v>2</v>
      </c>
      <c r="E423" s="13" t="s">
        <v>271</v>
      </c>
    </row>
    <row r="424" spans="1:5" x14ac:dyDescent="0.25">
      <c r="A424" s="13" t="s">
        <v>154</v>
      </c>
      <c r="B424" s="13" t="s">
        <v>410</v>
      </c>
      <c r="C424" s="13" t="s">
        <v>273</v>
      </c>
      <c r="D424" s="13">
        <v>2</v>
      </c>
      <c r="E424" s="13" t="s">
        <v>177</v>
      </c>
    </row>
    <row r="425" spans="1:5" x14ac:dyDescent="0.25">
      <c r="A425" s="13" t="s">
        <v>154</v>
      </c>
      <c r="B425" s="13" t="s">
        <v>410</v>
      </c>
      <c r="C425" s="13" t="s">
        <v>246</v>
      </c>
      <c r="D425" s="13">
        <v>2</v>
      </c>
      <c r="E425" s="13" t="s">
        <v>264</v>
      </c>
    </row>
    <row r="426" spans="1:5" x14ac:dyDescent="0.25">
      <c r="A426" s="13" t="s">
        <v>153</v>
      </c>
      <c r="B426" s="13" t="s">
        <v>411</v>
      </c>
      <c r="C426" s="13" t="s">
        <v>252</v>
      </c>
      <c r="D426" s="13">
        <v>6</v>
      </c>
      <c r="E426" s="13" t="s">
        <v>247</v>
      </c>
    </row>
    <row r="427" spans="1:5" x14ac:dyDescent="0.25">
      <c r="A427" s="13" t="s">
        <v>153</v>
      </c>
      <c r="B427" s="13" t="s">
        <v>411</v>
      </c>
      <c r="C427" s="13" t="s">
        <v>245</v>
      </c>
      <c r="D427" s="13">
        <v>2</v>
      </c>
      <c r="E427" s="13" t="s">
        <v>247</v>
      </c>
    </row>
    <row r="428" spans="1:5" x14ac:dyDescent="0.25">
      <c r="A428" s="13" t="s">
        <v>153</v>
      </c>
      <c r="B428" s="13" t="s">
        <v>411</v>
      </c>
      <c r="C428" s="13" t="s">
        <v>273</v>
      </c>
      <c r="D428" s="13">
        <v>4</v>
      </c>
      <c r="E428" s="13" t="s">
        <v>247</v>
      </c>
    </row>
    <row r="429" spans="1:5" x14ac:dyDescent="0.25">
      <c r="A429" s="13" t="s">
        <v>153</v>
      </c>
      <c r="B429" s="13" t="s">
        <v>411</v>
      </c>
      <c r="C429" s="13" t="s">
        <v>280</v>
      </c>
      <c r="D429" s="13">
        <v>1</v>
      </c>
      <c r="E429" s="13" t="s">
        <v>247</v>
      </c>
    </row>
    <row r="430" spans="1:5" x14ac:dyDescent="0.25">
      <c r="A430" s="13" t="s">
        <v>153</v>
      </c>
      <c r="B430" s="13" t="s">
        <v>412</v>
      </c>
      <c r="C430" s="13" t="s">
        <v>252</v>
      </c>
      <c r="D430" s="13">
        <v>6</v>
      </c>
      <c r="E430" s="13" t="s">
        <v>247</v>
      </c>
    </row>
    <row r="431" spans="1:5" x14ac:dyDescent="0.25">
      <c r="A431" s="13" t="s">
        <v>153</v>
      </c>
      <c r="B431" s="13" t="s">
        <v>412</v>
      </c>
      <c r="C431" s="13" t="s">
        <v>325</v>
      </c>
      <c r="D431" s="13">
        <v>2</v>
      </c>
      <c r="E431" s="13" t="s">
        <v>247</v>
      </c>
    </row>
    <row r="432" spans="1:5" x14ac:dyDescent="0.25">
      <c r="A432" s="13" t="s">
        <v>153</v>
      </c>
      <c r="B432" s="13" t="s">
        <v>413</v>
      </c>
      <c r="C432" s="13" t="s">
        <v>252</v>
      </c>
      <c r="D432" s="13">
        <v>6</v>
      </c>
      <c r="E432" s="13" t="s">
        <v>247</v>
      </c>
    </row>
    <row r="433" spans="1:5" x14ac:dyDescent="0.25">
      <c r="A433" s="13" t="s">
        <v>153</v>
      </c>
      <c r="B433" s="13" t="s">
        <v>413</v>
      </c>
      <c r="C433" s="13" t="s">
        <v>325</v>
      </c>
      <c r="D433" s="13">
        <v>2</v>
      </c>
      <c r="E433" s="13" t="s">
        <v>279</v>
      </c>
    </row>
    <row r="434" spans="1:5" x14ac:dyDescent="0.25">
      <c r="A434" s="13" t="s">
        <v>153</v>
      </c>
      <c r="B434" s="13" t="s">
        <v>413</v>
      </c>
      <c r="C434" s="13" t="s">
        <v>332</v>
      </c>
      <c r="D434" s="13">
        <v>2</v>
      </c>
      <c r="E434" s="13" t="s">
        <v>177</v>
      </c>
    </row>
    <row r="435" spans="1:5" x14ac:dyDescent="0.25">
      <c r="A435" s="13" t="s">
        <v>153</v>
      </c>
      <c r="B435" s="13" t="s">
        <v>413</v>
      </c>
      <c r="C435" s="13" t="s">
        <v>245</v>
      </c>
      <c r="D435" s="13">
        <v>2</v>
      </c>
      <c r="E435" s="13" t="s">
        <v>247</v>
      </c>
    </row>
    <row r="436" spans="1:5" x14ac:dyDescent="0.25">
      <c r="A436" s="13" t="s">
        <v>152</v>
      </c>
      <c r="B436" s="13" t="s">
        <v>414</v>
      </c>
      <c r="C436" s="13" t="s">
        <v>246</v>
      </c>
      <c r="D436" s="13">
        <v>4</v>
      </c>
      <c r="E436" s="13" t="s">
        <v>247</v>
      </c>
    </row>
    <row r="437" spans="1:5" x14ac:dyDescent="0.25">
      <c r="A437" s="13" t="s">
        <v>152</v>
      </c>
      <c r="B437" s="13" t="s">
        <v>414</v>
      </c>
      <c r="C437" s="13" t="s">
        <v>254</v>
      </c>
      <c r="D437" s="13">
        <v>2</v>
      </c>
      <c r="E437" s="13" t="s">
        <v>271</v>
      </c>
    </row>
    <row r="438" spans="1:5" x14ac:dyDescent="0.25">
      <c r="A438" s="13" t="s">
        <v>152</v>
      </c>
      <c r="B438" s="13" t="s">
        <v>415</v>
      </c>
      <c r="C438" s="13" t="s">
        <v>246</v>
      </c>
      <c r="D438" s="13">
        <v>4</v>
      </c>
      <c r="E438" s="13" t="s">
        <v>247</v>
      </c>
    </row>
    <row r="439" spans="1:5" x14ac:dyDescent="0.25">
      <c r="A439" s="13" t="s">
        <v>152</v>
      </c>
      <c r="B439" s="13" t="s">
        <v>415</v>
      </c>
      <c r="C439" s="13" t="s">
        <v>249</v>
      </c>
      <c r="D439" s="13">
        <v>3</v>
      </c>
      <c r="E439" s="13" t="s">
        <v>282</v>
      </c>
    </row>
    <row r="440" spans="1:5" x14ac:dyDescent="0.25">
      <c r="A440" s="13" t="s">
        <v>152</v>
      </c>
      <c r="B440" s="13" t="s">
        <v>416</v>
      </c>
      <c r="C440" s="13" t="s">
        <v>246</v>
      </c>
      <c r="D440" s="13">
        <v>4</v>
      </c>
      <c r="E440" s="13" t="s">
        <v>247</v>
      </c>
    </row>
    <row r="441" spans="1:5" x14ac:dyDescent="0.25">
      <c r="A441" s="13" t="s">
        <v>152</v>
      </c>
      <c r="B441" s="13" t="s">
        <v>416</v>
      </c>
      <c r="C441" s="13" t="s">
        <v>332</v>
      </c>
      <c r="D441" s="13">
        <v>2</v>
      </c>
      <c r="E441" s="13" t="s">
        <v>279</v>
      </c>
    </row>
    <row r="442" spans="1:5" x14ac:dyDescent="0.25">
      <c r="A442" s="13" t="s">
        <v>161</v>
      </c>
      <c r="B442" s="13" t="s">
        <v>417</v>
      </c>
      <c r="C442" s="13" t="s">
        <v>248</v>
      </c>
      <c r="D442" s="13">
        <v>3</v>
      </c>
      <c r="E442" s="13" t="s">
        <v>247</v>
      </c>
    </row>
    <row r="443" spans="1:5" x14ac:dyDescent="0.25">
      <c r="A443" s="13" t="s">
        <v>161</v>
      </c>
      <c r="B443" s="13" t="s">
        <v>417</v>
      </c>
      <c r="C443" s="13" t="s">
        <v>325</v>
      </c>
      <c r="D443" s="13">
        <v>2</v>
      </c>
      <c r="E443" s="13" t="s">
        <v>247</v>
      </c>
    </row>
    <row r="444" spans="1:5" x14ac:dyDescent="0.25">
      <c r="A444" s="13" t="s">
        <v>161</v>
      </c>
      <c r="B444" s="13" t="s">
        <v>417</v>
      </c>
      <c r="C444" s="13" t="s">
        <v>245</v>
      </c>
      <c r="D444" s="13">
        <v>2</v>
      </c>
      <c r="E444" s="13" t="s">
        <v>247</v>
      </c>
    </row>
    <row r="445" spans="1:5" x14ac:dyDescent="0.25">
      <c r="A445" s="13" t="s">
        <v>161</v>
      </c>
      <c r="B445" s="13" t="s">
        <v>417</v>
      </c>
      <c r="C445" s="13" t="s">
        <v>348</v>
      </c>
      <c r="D445" s="13">
        <v>1</v>
      </c>
      <c r="E445" s="13" t="s">
        <v>271</v>
      </c>
    </row>
    <row r="446" spans="1:5" x14ac:dyDescent="0.25">
      <c r="A446" s="13" t="s">
        <v>161</v>
      </c>
      <c r="B446" s="13" t="s">
        <v>417</v>
      </c>
      <c r="C446" s="13" t="s">
        <v>252</v>
      </c>
      <c r="D446" s="13">
        <v>2</v>
      </c>
      <c r="E446" s="13" t="s">
        <v>177</v>
      </c>
    </row>
    <row r="447" spans="1:5" x14ac:dyDescent="0.25">
      <c r="A447" s="13" t="s">
        <v>161</v>
      </c>
      <c r="B447" s="13" t="s">
        <v>417</v>
      </c>
      <c r="C447" s="13" t="s">
        <v>332</v>
      </c>
      <c r="D447" s="13">
        <v>3</v>
      </c>
      <c r="E447" s="13" t="s">
        <v>247</v>
      </c>
    </row>
    <row r="448" spans="1:5" x14ac:dyDescent="0.25">
      <c r="A448" s="13" t="s">
        <v>161</v>
      </c>
      <c r="B448" s="13" t="s">
        <v>417</v>
      </c>
      <c r="C448" s="13" t="s">
        <v>253</v>
      </c>
      <c r="D448" s="13">
        <v>2</v>
      </c>
      <c r="E448" s="13" t="s">
        <v>247</v>
      </c>
    </row>
    <row r="449" spans="1:5" x14ac:dyDescent="0.25">
      <c r="A449" s="13" t="s">
        <v>161</v>
      </c>
      <c r="B449" s="13" t="s">
        <v>418</v>
      </c>
      <c r="C449" s="13" t="s">
        <v>332</v>
      </c>
      <c r="D449" s="13">
        <v>3</v>
      </c>
      <c r="E449" s="13" t="s">
        <v>247</v>
      </c>
    </row>
    <row r="450" spans="1:5" x14ac:dyDescent="0.25">
      <c r="A450" s="13" t="s">
        <v>161</v>
      </c>
      <c r="B450" s="13" t="s">
        <v>419</v>
      </c>
      <c r="C450" s="13" t="s">
        <v>332</v>
      </c>
      <c r="D450" s="13">
        <v>2</v>
      </c>
      <c r="E450" s="13" t="s">
        <v>247</v>
      </c>
    </row>
    <row r="451" spans="1:5" x14ac:dyDescent="0.25">
      <c r="A451" s="13" t="s">
        <v>161</v>
      </c>
      <c r="B451" s="13" t="s">
        <v>419</v>
      </c>
      <c r="C451" s="13" t="s">
        <v>348</v>
      </c>
      <c r="D451" s="13">
        <v>1</v>
      </c>
      <c r="E451" s="13" t="s">
        <v>247</v>
      </c>
    </row>
    <row r="452" spans="1:5" x14ac:dyDescent="0.25">
      <c r="A452" s="13" t="s">
        <v>161</v>
      </c>
      <c r="B452" s="13" t="s">
        <v>419</v>
      </c>
      <c r="C452" s="13" t="s">
        <v>325</v>
      </c>
      <c r="D452" s="13">
        <v>1</v>
      </c>
      <c r="E452" s="13" t="s">
        <v>247</v>
      </c>
    </row>
    <row r="453" spans="1:5" x14ac:dyDescent="0.25">
      <c r="A453" s="13" t="s">
        <v>161</v>
      </c>
      <c r="B453" s="13" t="s">
        <v>419</v>
      </c>
      <c r="C453" s="13" t="s">
        <v>245</v>
      </c>
      <c r="D453" s="13">
        <v>1</v>
      </c>
      <c r="E453" s="13" t="s">
        <v>247</v>
      </c>
    </row>
    <row r="454" spans="1:5" x14ac:dyDescent="0.25">
      <c r="A454" s="13" t="s">
        <v>161</v>
      </c>
      <c r="B454" s="13" t="s">
        <v>419</v>
      </c>
      <c r="C454" s="13" t="s">
        <v>273</v>
      </c>
      <c r="D454" s="13">
        <v>1</v>
      </c>
      <c r="E454" s="13" t="s">
        <v>247</v>
      </c>
    </row>
    <row r="455" spans="1:5" x14ac:dyDescent="0.25">
      <c r="A455" s="13" t="s">
        <v>161</v>
      </c>
      <c r="B455" s="13" t="s">
        <v>419</v>
      </c>
      <c r="C455" s="13" t="s">
        <v>252</v>
      </c>
      <c r="D455" s="13">
        <v>2</v>
      </c>
      <c r="E455" s="13" t="s">
        <v>177</v>
      </c>
    </row>
    <row r="456" spans="1:5" x14ac:dyDescent="0.25">
      <c r="A456" s="13" t="s">
        <v>161</v>
      </c>
      <c r="B456" s="13" t="s">
        <v>419</v>
      </c>
      <c r="C456" s="13" t="s">
        <v>253</v>
      </c>
      <c r="D456" s="13">
        <v>2</v>
      </c>
      <c r="E456" s="13" t="s">
        <v>247</v>
      </c>
    </row>
    <row r="457" spans="1:5" x14ac:dyDescent="0.25">
      <c r="A457" s="13" t="s">
        <v>195</v>
      </c>
      <c r="B457" s="13" t="s">
        <v>420</v>
      </c>
      <c r="C457" s="13" t="s">
        <v>332</v>
      </c>
      <c r="D457" s="13">
        <v>5</v>
      </c>
      <c r="E457" s="13" t="s">
        <v>264</v>
      </c>
    </row>
    <row r="458" spans="1:5" x14ac:dyDescent="0.25">
      <c r="A458" s="13" t="s">
        <v>195</v>
      </c>
      <c r="B458" s="13" t="s">
        <v>420</v>
      </c>
      <c r="C458" s="13" t="s">
        <v>267</v>
      </c>
      <c r="D458" s="13">
        <v>3</v>
      </c>
      <c r="E458" s="13" t="s">
        <v>247</v>
      </c>
    </row>
    <row r="459" spans="1:5" x14ac:dyDescent="0.25">
      <c r="A459" s="13" t="s">
        <v>195</v>
      </c>
      <c r="B459" s="13" t="s">
        <v>420</v>
      </c>
      <c r="C459" s="13" t="s">
        <v>252</v>
      </c>
      <c r="D459" s="13">
        <v>2</v>
      </c>
      <c r="E459" s="13" t="s">
        <v>264</v>
      </c>
    </row>
    <row r="460" spans="1:5" x14ac:dyDescent="0.25">
      <c r="A460" s="13" t="s">
        <v>195</v>
      </c>
      <c r="B460" s="13" t="s">
        <v>421</v>
      </c>
      <c r="C460" s="13" t="s">
        <v>332</v>
      </c>
      <c r="D460" s="13">
        <v>4</v>
      </c>
      <c r="E460" s="13" t="s">
        <v>264</v>
      </c>
    </row>
    <row r="461" spans="1:5" x14ac:dyDescent="0.25">
      <c r="A461" s="13" t="s">
        <v>195</v>
      </c>
      <c r="B461" s="13" t="s">
        <v>421</v>
      </c>
      <c r="C461" s="13" t="s">
        <v>252</v>
      </c>
      <c r="D461" s="13">
        <v>3</v>
      </c>
      <c r="E461" s="13" t="s">
        <v>264</v>
      </c>
    </row>
    <row r="462" spans="1:5" x14ac:dyDescent="0.25">
      <c r="A462" s="13" t="s">
        <v>195</v>
      </c>
      <c r="B462" s="13" t="s">
        <v>421</v>
      </c>
      <c r="C462" s="13" t="s">
        <v>254</v>
      </c>
      <c r="D462" s="13">
        <v>2</v>
      </c>
      <c r="E462" s="13" t="s">
        <v>177</v>
      </c>
    </row>
    <row r="463" spans="1:5" x14ac:dyDescent="0.25">
      <c r="A463" s="13" t="s">
        <v>195</v>
      </c>
      <c r="B463" s="13" t="s">
        <v>421</v>
      </c>
      <c r="C463" s="13" t="s">
        <v>273</v>
      </c>
      <c r="D463" s="13">
        <v>2</v>
      </c>
      <c r="E463" s="13" t="s">
        <v>177</v>
      </c>
    </row>
    <row r="464" spans="1:5" x14ac:dyDescent="0.25">
      <c r="A464" s="13" t="s">
        <v>195</v>
      </c>
      <c r="B464" s="13" t="s">
        <v>421</v>
      </c>
      <c r="C464" s="13" t="s">
        <v>280</v>
      </c>
      <c r="D464" s="13">
        <v>2</v>
      </c>
      <c r="E464" s="13" t="s">
        <v>177</v>
      </c>
    </row>
    <row r="465" spans="1:5" x14ac:dyDescent="0.25">
      <c r="A465" s="13" t="s">
        <v>195</v>
      </c>
      <c r="B465" s="13" t="s">
        <v>422</v>
      </c>
      <c r="C465" s="13" t="s">
        <v>332</v>
      </c>
      <c r="D465" s="13">
        <v>6</v>
      </c>
      <c r="E465" s="13" t="s">
        <v>247</v>
      </c>
    </row>
    <row r="466" spans="1:5" x14ac:dyDescent="0.25">
      <c r="A466" s="13" t="s">
        <v>195</v>
      </c>
      <c r="B466" s="13" t="s">
        <v>422</v>
      </c>
      <c r="C466" s="13" t="s">
        <v>254</v>
      </c>
      <c r="D466" s="13">
        <v>2</v>
      </c>
      <c r="E466" s="13" t="s">
        <v>177</v>
      </c>
    </row>
    <row r="467" spans="1:5" x14ac:dyDescent="0.25">
      <c r="A467" s="13" t="s">
        <v>195</v>
      </c>
      <c r="B467" s="13" t="s">
        <v>422</v>
      </c>
      <c r="C467" s="13" t="s">
        <v>245</v>
      </c>
      <c r="D467" s="13">
        <v>2</v>
      </c>
      <c r="E467" s="13" t="s">
        <v>247</v>
      </c>
    </row>
    <row r="468" spans="1:5" x14ac:dyDescent="0.25">
      <c r="A468" s="13" t="s">
        <v>195</v>
      </c>
      <c r="B468" s="13" t="s">
        <v>422</v>
      </c>
      <c r="C468" s="13" t="s">
        <v>252</v>
      </c>
      <c r="D468" s="13">
        <v>3</v>
      </c>
      <c r="E468" s="13" t="s">
        <v>264</v>
      </c>
    </row>
    <row r="469" spans="1:5" x14ac:dyDescent="0.25">
      <c r="A469" s="13" t="s">
        <v>195</v>
      </c>
      <c r="B469" s="13" t="s">
        <v>422</v>
      </c>
      <c r="C469" s="13" t="s">
        <v>249</v>
      </c>
      <c r="D469" s="13">
        <v>2</v>
      </c>
      <c r="E469" s="13" t="s">
        <v>247</v>
      </c>
    </row>
    <row r="470" spans="1:5" x14ac:dyDescent="0.25">
      <c r="A470" s="13" t="s">
        <v>174</v>
      </c>
      <c r="B470" s="13" t="s">
        <v>423</v>
      </c>
      <c r="C470" s="13" t="s">
        <v>254</v>
      </c>
      <c r="D470" s="13">
        <v>2</v>
      </c>
      <c r="E470" s="13" t="s">
        <v>247</v>
      </c>
    </row>
    <row r="471" spans="1:5" x14ac:dyDescent="0.25">
      <c r="A471" s="13" t="s">
        <v>174</v>
      </c>
      <c r="B471" s="13" t="s">
        <v>423</v>
      </c>
      <c r="C471" s="13" t="s">
        <v>278</v>
      </c>
      <c r="D471" s="13">
        <v>1</v>
      </c>
      <c r="E471" s="13" t="s">
        <v>247</v>
      </c>
    </row>
    <row r="472" spans="1:5" x14ac:dyDescent="0.25">
      <c r="A472" s="13" t="s">
        <v>174</v>
      </c>
      <c r="B472" s="13" t="s">
        <v>424</v>
      </c>
      <c r="C472" s="13" t="s">
        <v>332</v>
      </c>
      <c r="D472" s="13">
        <v>3</v>
      </c>
      <c r="E472" s="13" t="s">
        <v>247</v>
      </c>
    </row>
    <row r="473" spans="1:5" x14ac:dyDescent="0.25">
      <c r="A473" s="13" t="s">
        <v>174</v>
      </c>
      <c r="B473" s="13" t="s">
        <v>424</v>
      </c>
      <c r="C473" s="13" t="s">
        <v>278</v>
      </c>
      <c r="D473" s="13">
        <v>2</v>
      </c>
      <c r="E473" s="13" t="s">
        <v>264</v>
      </c>
    </row>
    <row r="474" spans="1:5" x14ac:dyDescent="0.25">
      <c r="A474" s="13" t="s">
        <v>174</v>
      </c>
      <c r="B474" s="13" t="s">
        <v>424</v>
      </c>
      <c r="C474" s="13" t="s">
        <v>254</v>
      </c>
      <c r="D474" s="13">
        <v>2</v>
      </c>
      <c r="E474" s="13" t="s">
        <v>177</v>
      </c>
    </row>
    <row r="475" spans="1:5" x14ac:dyDescent="0.25">
      <c r="A475" s="13" t="s">
        <v>174</v>
      </c>
      <c r="B475" s="13" t="s">
        <v>425</v>
      </c>
      <c r="C475" s="13" t="s">
        <v>278</v>
      </c>
      <c r="D475" s="13">
        <v>4</v>
      </c>
      <c r="E475" s="13" t="s">
        <v>264</v>
      </c>
    </row>
    <row r="476" spans="1:5" x14ac:dyDescent="0.25">
      <c r="A476" s="13" t="s">
        <v>174</v>
      </c>
      <c r="B476" s="13" t="s">
        <v>425</v>
      </c>
      <c r="C476" s="13" t="s">
        <v>254</v>
      </c>
      <c r="D476" s="13">
        <v>2</v>
      </c>
      <c r="E476" s="13" t="s">
        <v>247</v>
      </c>
    </row>
    <row r="477" spans="1:5" x14ac:dyDescent="0.25">
      <c r="A477" s="13" t="s">
        <v>174</v>
      </c>
      <c r="B477" s="13" t="s">
        <v>425</v>
      </c>
      <c r="C477" s="13" t="s">
        <v>426</v>
      </c>
      <c r="D477" s="13">
        <v>2</v>
      </c>
      <c r="E477" s="13" t="s">
        <v>264</v>
      </c>
    </row>
    <row r="478" spans="1:5" x14ac:dyDescent="0.25">
      <c r="A478" s="13" t="s">
        <v>194</v>
      </c>
      <c r="B478" s="13" t="s">
        <v>427</v>
      </c>
      <c r="C478" s="13" t="s">
        <v>252</v>
      </c>
      <c r="D478" s="13">
        <v>2</v>
      </c>
      <c r="E478" s="13" t="s">
        <v>177</v>
      </c>
    </row>
    <row r="479" spans="1:5" x14ac:dyDescent="0.25">
      <c r="A479" s="13" t="s">
        <v>194</v>
      </c>
      <c r="B479" s="13" t="s">
        <v>427</v>
      </c>
      <c r="C479" s="13" t="s">
        <v>278</v>
      </c>
      <c r="D479" s="13">
        <v>2</v>
      </c>
      <c r="E479" s="13" t="s">
        <v>271</v>
      </c>
    </row>
    <row r="480" spans="1:5" x14ac:dyDescent="0.25">
      <c r="A480" s="13" t="s">
        <v>194</v>
      </c>
      <c r="B480" s="13" t="s">
        <v>427</v>
      </c>
      <c r="C480" s="13" t="s">
        <v>246</v>
      </c>
      <c r="D480" s="13">
        <v>3</v>
      </c>
      <c r="E480" s="13" t="s">
        <v>247</v>
      </c>
    </row>
    <row r="481" spans="1:5" x14ac:dyDescent="0.25">
      <c r="A481" s="13" t="s">
        <v>194</v>
      </c>
      <c r="B481" s="13" t="s">
        <v>427</v>
      </c>
      <c r="C481" s="13" t="s">
        <v>253</v>
      </c>
      <c r="D481" s="13">
        <v>4</v>
      </c>
      <c r="E481" s="13" t="s">
        <v>247</v>
      </c>
    </row>
    <row r="482" spans="1:5" x14ac:dyDescent="0.25">
      <c r="A482" s="13" t="s">
        <v>194</v>
      </c>
      <c r="B482" s="13" t="s">
        <v>427</v>
      </c>
      <c r="C482" s="13" t="s">
        <v>334</v>
      </c>
      <c r="D482" s="13">
        <v>2</v>
      </c>
      <c r="E482" s="13" t="s">
        <v>247</v>
      </c>
    </row>
    <row r="483" spans="1:5" x14ac:dyDescent="0.25">
      <c r="A483" s="13" t="s">
        <v>194</v>
      </c>
      <c r="B483" s="13" t="s">
        <v>427</v>
      </c>
      <c r="C483" s="13" t="s">
        <v>332</v>
      </c>
      <c r="D483" s="13">
        <v>1</v>
      </c>
      <c r="E483" s="13" t="s">
        <v>247</v>
      </c>
    </row>
    <row r="484" spans="1:5" x14ac:dyDescent="0.25">
      <c r="A484" s="13" t="s">
        <v>194</v>
      </c>
      <c r="B484" s="13" t="s">
        <v>427</v>
      </c>
      <c r="C484" s="13" t="s">
        <v>254</v>
      </c>
      <c r="D484" s="13">
        <v>2</v>
      </c>
      <c r="E484" s="13" t="s">
        <v>177</v>
      </c>
    </row>
    <row r="485" spans="1:5" x14ac:dyDescent="0.25">
      <c r="A485" s="13" t="s">
        <v>194</v>
      </c>
      <c r="B485" s="13" t="s">
        <v>427</v>
      </c>
      <c r="C485" s="13" t="s">
        <v>274</v>
      </c>
      <c r="D485" s="13">
        <v>4</v>
      </c>
      <c r="E485" s="13" t="s">
        <v>264</v>
      </c>
    </row>
    <row r="486" spans="1:5" x14ac:dyDescent="0.25">
      <c r="A486" s="13" t="s">
        <v>194</v>
      </c>
      <c r="B486" s="13" t="s">
        <v>428</v>
      </c>
      <c r="C486" s="13" t="s">
        <v>252</v>
      </c>
      <c r="D486" s="13">
        <v>3</v>
      </c>
      <c r="E486" s="13" t="s">
        <v>264</v>
      </c>
    </row>
    <row r="487" spans="1:5" x14ac:dyDescent="0.25">
      <c r="A487" s="13" t="s">
        <v>194</v>
      </c>
      <c r="B487" s="13" t="s">
        <v>428</v>
      </c>
      <c r="C487" s="13" t="s">
        <v>254</v>
      </c>
      <c r="D487" s="13">
        <v>2</v>
      </c>
      <c r="E487" s="13" t="s">
        <v>247</v>
      </c>
    </row>
    <row r="488" spans="1:5" x14ac:dyDescent="0.25">
      <c r="A488" s="13" t="s">
        <v>194</v>
      </c>
      <c r="B488" s="13" t="s">
        <v>428</v>
      </c>
      <c r="C488" s="13" t="s">
        <v>246</v>
      </c>
      <c r="D488" s="13">
        <v>3</v>
      </c>
      <c r="E488" s="13" t="s">
        <v>247</v>
      </c>
    </row>
    <row r="489" spans="1:5" x14ac:dyDescent="0.25">
      <c r="A489" s="13" t="s">
        <v>194</v>
      </c>
      <c r="B489" s="13" t="s">
        <v>428</v>
      </c>
      <c r="C489" s="13" t="s">
        <v>278</v>
      </c>
      <c r="D489" s="13">
        <v>1</v>
      </c>
      <c r="E489" s="13" t="s">
        <v>279</v>
      </c>
    </row>
    <row r="490" spans="1:5" x14ac:dyDescent="0.25">
      <c r="A490" s="13" t="s">
        <v>194</v>
      </c>
      <c r="B490" s="13" t="s">
        <v>429</v>
      </c>
      <c r="C490" s="13" t="s">
        <v>253</v>
      </c>
      <c r="D490" s="13">
        <v>5</v>
      </c>
      <c r="E490" s="13" t="s">
        <v>177</v>
      </c>
    </row>
    <row r="491" spans="1:5" x14ac:dyDescent="0.25">
      <c r="A491" s="13" t="s">
        <v>194</v>
      </c>
      <c r="B491" s="13" t="s">
        <v>429</v>
      </c>
      <c r="C491" s="13" t="s">
        <v>246</v>
      </c>
      <c r="D491" s="13">
        <v>4</v>
      </c>
      <c r="E491" s="13" t="s">
        <v>247</v>
      </c>
    </row>
    <row r="492" spans="1:5" x14ac:dyDescent="0.25">
      <c r="A492" s="13" t="s">
        <v>194</v>
      </c>
      <c r="B492" s="13" t="s">
        <v>429</v>
      </c>
      <c r="C492" s="13" t="s">
        <v>254</v>
      </c>
      <c r="D492" s="13">
        <v>2</v>
      </c>
      <c r="E492" s="13" t="s">
        <v>247</v>
      </c>
    </row>
    <row r="493" spans="1:5" x14ac:dyDescent="0.25">
      <c r="A493" s="13" t="s">
        <v>194</v>
      </c>
      <c r="B493" s="13" t="s">
        <v>429</v>
      </c>
      <c r="C493" s="13" t="s">
        <v>274</v>
      </c>
      <c r="D493" s="13">
        <v>1</v>
      </c>
      <c r="E493" s="13" t="s">
        <v>247</v>
      </c>
    </row>
    <row r="494" spans="1:5" x14ac:dyDescent="0.25">
      <c r="A494" s="13" t="s">
        <v>194</v>
      </c>
      <c r="B494" s="13" t="s">
        <v>429</v>
      </c>
      <c r="C494" s="13" t="s">
        <v>278</v>
      </c>
      <c r="D494" s="13">
        <v>1</v>
      </c>
      <c r="E494" s="13" t="s">
        <v>177</v>
      </c>
    </row>
    <row r="495" spans="1:5" x14ac:dyDescent="0.25">
      <c r="A495" s="13" t="s">
        <v>199</v>
      </c>
      <c r="B495" s="13" t="s">
        <v>430</v>
      </c>
      <c r="C495" s="13" t="s">
        <v>252</v>
      </c>
      <c r="D495" s="13">
        <v>5</v>
      </c>
      <c r="E495" s="13" t="s">
        <v>247</v>
      </c>
    </row>
    <row r="496" spans="1:5" x14ac:dyDescent="0.25">
      <c r="A496" s="13" t="s">
        <v>199</v>
      </c>
      <c r="B496" s="13" t="s">
        <v>430</v>
      </c>
      <c r="C496" s="13" t="s">
        <v>253</v>
      </c>
      <c r="D496" s="13">
        <v>5</v>
      </c>
      <c r="E496" s="13" t="s">
        <v>247</v>
      </c>
    </row>
    <row r="497" spans="1:5" x14ac:dyDescent="0.25">
      <c r="A497" s="13" t="s">
        <v>199</v>
      </c>
      <c r="B497" s="13" t="s">
        <v>430</v>
      </c>
      <c r="C497" s="13" t="s">
        <v>278</v>
      </c>
      <c r="D497" s="13">
        <v>3</v>
      </c>
      <c r="E497" s="13" t="s">
        <v>247</v>
      </c>
    </row>
    <row r="498" spans="1:5" x14ac:dyDescent="0.25">
      <c r="A498" s="13" t="s">
        <v>199</v>
      </c>
      <c r="B498" s="13" t="s">
        <v>430</v>
      </c>
      <c r="C498" s="13" t="s">
        <v>254</v>
      </c>
      <c r="D498" s="13">
        <v>2</v>
      </c>
      <c r="E498" s="13" t="s">
        <v>247</v>
      </c>
    </row>
    <row r="499" spans="1:5" x14ac:dyDescent="0.25">
      <c r="A499" s="13" t="s">
        <v>199</v>
      </c>
      <c r="B499" s="13" t="s">
        <v>430</v>
      </c>
      <c r="C499" s="13" t="s">
        <v>259</v>
      </c>
      <c r="D499" s="13">
        <v>2</v>
      </c>
      <c r="E499" s="13" t="s">
        <v>247</v>
      </c>
    </row>
    <row r="500" spans="1:5" x14ac:dyDescent="0.25">
      <c r="A500" s="13" t="s">
        <v>199</v>
      </c>
      <c r="B500" s="13" t="s">
        <v>431</v>
      </c>
      <c r="C500" s="13" t="s">
        <v>252</v>
      </c>
      <c r="D500" s="13">
        <v>6</v>
      </c>
      <c r="E500" s="13" t="s">
        <v>177</v>
      </c>
    </row>
    <row r="501" spans="1:5" x14ac:dyDescent="0.25">
      <c r="A501" s="13" t="s">
        <v>199</v>
      </c>
      <c r="B501" s="13" t="s">
        <v>431</v>
      </c>
      <c r="C501" s="13" t="s">
        <v>278</v>
      </c>
      <c r="D501" s="13">
        <v>3</v>
      </c>
      <c r="E501" s="13" t="s">
        <v>247</v>
      </c>
    </row>
    <row r="502" spans="1:5" x14ac:dyDescent="0.25">
      <c r="A502" s="13" t="s">
        <v>199</v>
      </c>
      <c r="B502" s="13" t="s">
        <v>431</v>
      </c>
      <c r="C502" s="13" t="s">
        <v>253</v>
      </c>
      <c r="D502" s="13">
        <v>5</v>
      </c>
      <c r="E502" s="13" t="s">
        <v>177</v>
      </c>
    </row>
    <row r="503" spans="1:5" x14ac:dyDescent="0.25">
      <c r="A503" s="13" t="s">
        <v>199</v>
      </c>
      <c r="B503" s="13" t="s">
        <v>431</v>
      </c>
      <c r="C503" s="13" t="s">
        <v>259</v>
      </c>
      <c r="D503" s="13">
        <v>3</v>
      </c>
      <c r="E503" s="13" t="s">
        <v>247</v>
      </c>
    </row>
    <row r="504" spans="1:5" x14ac:dyDescent="0.25">
      <c r="A504" s="13" t="s">
        <v>199</v>
      </c>
      <c r="B504" s="13" t="s">
        <v>432</v>
      </c>
      <c r="C504" s="13" t="s">
        <v>252</v>
      </c>
      <c r="D504" s="13">
        <v>5</v>
      </c>
      <c r="E504" s="13" t="s">
        <v>247</v>
      </c>
    </row>
    <row r="505" spans="1:5" x14ac:dyDescent="0.25">
      <c r="A505" s="13" t="s">
        <v>199</v>
      </c>
      <c r="B505" s="13" t="s">
        <v>432</v>
      </c>
      <c r="C505" s="13" t="s">
        <v>253</v>
      </c>
      <c r="D505" s="13">
        <v>5</v>
      </c>
      <c r="E505" s="13" t="s">
        <v>247</v>
      </c>
    </row>
    <row r="506" spans="1:5" x14ac:dyDescent="0.25">
      <c r="A506" s="13" t="s">
        <v>199</v>
      </c>
      <c r="B506" s="13" t="s">
        <v>432</v>
      </c>
      <c r="C506" s="13" t="s">
        <v>259</v>
      </c>
      <c r="D506" s="13">
        <v>2</v>
      </c>
      <c r="E506" s="13" t="s">
        <v>247</v>
      </c>
    </row>
    <row r="507" spans="1:5" x14ac:dyDescent="0.25">
      <c r="A507" s="13" t="s">
        <v>199</v>
      </c>
      <c r="B507" s="13" t="s">
        <v>432</v>
      </c>
      <c r="C507" s="13" t="s">
        <v>254</v>
      </c>
      <c r="D507" s="13">
        <v>1</v>
      </c>
      <c r="E507" s="13" t="s">
        <v>247</v>
      </c>
    </row>
    <row r="508" spans="1:5" x14ac:dyDescent="0.25">
      <c r="A508" s="13" t="s">
        <v>199</v>
      </c>
      <c r="B508" s="13" t="s">
        <v>432</v>
      </c>
      <c r="C508" s="13" t="s">
        <v>334</v>
      </c>
      <c r="D508" s="13">
        <v>1</v>
      </c>
      <c r="E508" s="13" t="s">
        <v>247</v>
      </c>
    </row>
    <row r="509" spans="1:5" x14ac:dyDescent="0.25">
      <c r="A509" s="13" t="s">
        <v>199</v>
      </c>
      <c r="B509" s="13" t="s">
        <v>432</v>
      </c>
      <c r="C509" s="13" t="s">
        <v>274</v>
      </c>
      <c r="D509" s="13">
        <v>3</v>
      </c>
      <c r="E509" s="13" t="s">
        <v>247</v>
      </c>
    </row>
    <row r="510" spans="1:5" x14ac:dyDescent="0.25">
      <c r="A510" s="13" t="s">
        <v>199</v>
      </c>
      <c r="B510" s="13" t="s">
        <v>432</v>
      </c>
      <c r="C510" s="13" t="s">
        <v>278</v>
      </c>
      <c r="D510" s="13">
        <v>1</v>
      </c>
      <c r="E510" s="13" t="s">
        <v>177</v>
      </c>
    </row>
    <row r="511" spans="1:5" x14ac:dyDescent="0.25">
      <c r="A511" s="13" t="s">
        <v>189</v>
      </c>
      <c r="B511" s="13" t="s">
        <v>433</v>
      </c>
      <c r="C511" s="13" t="s">
        <v>246</v>
      </c>
      <c r="D511" s="13">
        <v>4</v>
      </c>
      <c r="E511" s="13" t="s">
        <v>247</v>
      </c>
    </row>
    <row r="512" spans="1:5" x14ac:dyDescent="0.25">
      <c r="A512" s="13" t="s">
        <v>189</v>
      </c>
      <c r="B512" s="13" t="s">
        <v>434</v>
      </c>
      <c r="C512" s="13" t="s">
        <v>246</v>
      </c>
      <c r="D512" s="13">
        <v>4</v>
      </c>
      <c r="E512" s="13" t="s">
        <v>247</v>
      </c>
    </row>
    <row r="513" spans="1:5" x14ac:dyDescent="0.25">
      <c r="A513" s="13" t="s">
        <v>189</v>
      </c>
      <c r="B513" s="13" t="s">
        <v>435</v>
      </c>
      <c r="C513" s="13" t="s">
        <v>246</v>
      </c>
      <c r="D513" s="13">
        <v>3</v>
      </c>
      <c r="E513" s="13" t="s">
        <v>247</v>
      </c>
    </row>
    <row r="514" spans="1:5" x14ac:dyDescent="0.25">
      <c r="A514" s="13" t="s">
        <v>187</v>
      </c>
      <c r="B514" s="13" t="s">
        <v>436</v>
      </c>
      <c r="C514" s="13" t="s">
        <v>246</v>
      </c>
      <c r="D514" s="13">
        <v>3</v>
      </c>
      <c r="E514" s="13" t="s">
        <v>247</v>
      </c>
    </row>
    <row r="515" spans="1:5" x14ac:dyDescent="0.25">
      <c r="A515" s="13" t="s">
        <v>187</v>
      </c>
      <c r="B515" s="13" t="s">
        <v>436</v>
      </c>
      <c r="C515" s="13" t="s">
        <v>274</v>
      </c>
      <c r="D515" s="13">
        <v>3</v>
      </c>
      <c r="E515" s="13" t="s">
        <v>247</v>
      </c>
    </row>
    <row r="516" spans="1:5" x14ac:dyDescent="0.25">
      <c r="A516" s="13" t="s">
        <v>187</v>
      </c>
      <c r="B516" s="13" t="s">
        <v>437</v>
      </c>
      <c r="C516" s="13" t="s">
        <v>246</v>
      </c>
      <c r="D516" s="13">
        <v>5</v>
      </c>
      <c r="E516" s="13" t="s">
        <v>247</v>
      </c>
    </row>
    <row r="517" spans="1:5" x14ac:dyDescent="0.25">
      <c r="A517" s="13" t="s">
        <v>187</v>
      </c>
      <c r="B517" s="13" t="s">
        <v>437</v>
      </c>
      <c r="C517" s="13" t="s">
        <v>274</v>
      </c>
      <c r="D517" s="13">
        <v>4</v>
      </c>
      <c r="E517" s="13" t="s">
        <v>247</v>
      </c>
    </row>
    <row r="518" spans="1:5" x14ac:dyDescent="0.25">
      <c r="A518" s="13" t="s">
        <v>187</v>
      </c>
      <c r="B518" s="13" t="s">
        <v>437</v>
      </c>
      <c r="C518" s="13" t="s">
        <v>254</v>
      </c>
      <c r="D518" s="13">
        <v>1</v>
      </c>
      <c r="E518" s="13" t="s">
        <v>247</v>
      </c>
    </row>
    <row r="519" spans="1:5" x14ac:dyDescent="0.25">
      <c r="A519" s="13" t="s">
        <v>187</v>
      </c>
      <c r="B519" s="13" t="s">
        <v>438</v>
      </c>
      <c r="C519" s="13" t="s">
        <v>274</v>
      </c>
      <c r="D519" s="13">
        <v>5</v>
      </c>
      <c r="E519" s="13" t="s">
        <v>247</v>
      </c>
    </row>
    <row r="520" spans="1:5" x14ac:dyDescent="0.25">
      <c r="A520" s="13" t="s">
        <v>187</v>
      </c>
      <c r="B520" s="13" t="s">
        <v>438</v>
      </c>
      <c r="C520" s="13" t="s">
        <v>246</v>
      </c>
      <c r="D520" s="13">
        <v>3</v>
      </c>
      <c r="E520" s="13" t="s">
        <v>247</v>
      </c>
    </row>
    <row r="521" spans="1:5" x14ac:dyDescent="0.25">
      <c r="A521" s="13" t="s">
        <v>188</v>
      </c>
      <c r="B521" s="13" t="s">
        <v>439</v>
      </c>
      <c r="C521" s="13" t="s">
        <v>246</v>
      </c>
      <c r="D521" s="13">
        <v>4</v>
      </c>
      <c r="E521" s="13" t="s">
        <v>177</v>
      </c>
    </row>
    <row r="522" spans="1:5" x14ac:dyDescent="0.25">
      <c r="A522" s="13" t="s">
        <v>188</v>
      </c>
      <c r="B522" s="13" t="s">
        <v>440</v>
      </c>
      <c r="C522" s="13" t="s">
        <v>246</v>
      </c>
      <c r="D522" s="13">
        <v>3</v>
      </c>
      <c r="E522" s="13" t="s">
        <v>177</v>
      </c>
    </row>
    <row r="523" spans="1:5" x14ac:dyDescent="0.25">
      <c r="A523" s="13" t="s">
        <v>188</v>
      </c>
      <c r="B523" s="13" t="s">
        <v>440</v>
      </c>
      <c r="C523" s="13" t="s">
        <v>274</v>
      </c>
      <c r="D523" s="13">
        <v>5</v>
      </c>
      <c r="E523" s="13" t="s">
        <v>177</v>
      </c>
    </row>
    <row r="524" spans="1:5" x14ac:dyDescent="0.25">
      <c r="A524" s="13" t="s">
        <v>188</v>
      </c>
      <c r="B524" s="13" t="s">
        <v>441</v>
      </c>
      <c r="C524" s="13" t="s">
        <v>246</v>
      </c>
      <c r="D524" s="13">
        <v>3</v>
      </c>
      <c r="E524" s="13" t="s">
        <v>247</v>
      </c>
    </row>
    <row r="525" spans="1:5" x14ac:dyDescent="0.25">
      <c r="A525" s="13" t="s">
        <v>211</v>
      </c>
      <c r="B525" s="13" t="s">
        <v>442</v>
      </c>
      <c r="C525" s="13" t="s">
        <v>246</v>
      </c>
      <c r="D525" s="13">
        <v>1</v>
      </c>
      <c r="E525" s="13" t="s">
        <v>177</v>
      </c>
    </row>
    <row r="526" spans="1:5" x14ac:dyDescent="0.25">
      <c r="A526" s="13" t="s">
        <v>211</v>
      </c>
      <c r="B526" s="13" t="s">
        <v>443</v>
      </c>
      <c r="C526" s="13" t="s">
        <v>246</v>
      </c>
      <c r="D526" s="13">
        <v>1</v>
      </c>
      <c r="E526" s="13" t="s">
        <v>271</v>
      </c>
    </row>
    <row r="527" spans="1:5" x14ac:dyDescent="0.25">
      <c r="A527" s="13" t="s">
        <v>211</v>
      </c>
      <c r="B527" s="13" t="s">
        <v>444</v>
      </c>
      <c r="C527" s="13" t="s">
        <v>246</v>
      </c>
      <c r="D527" s="13">
        <v>1</v>
      </c>
      <c r="E527" s="13" t="s">
        <v>177</v>
      </c>
    </row>
    <row r="528" spans="1:5" x14ac:dyDescent="0.25">
      <c r="A528" s="13" t="s">
        <v>210</v>
      </c>
      <c r="B528" s="13" t="s">
        <v>445</v>
      </c>
      <c r="C528" s="13" t="s">
        <v>246</v>
      </c>
      <c r="D528" s="13">
        <v>3</v>
      </c>
      <c r="E528" s="13" t="s">
        <v>264</v>
      </c>
    </row>
    <row r="529" spans="1:5" x14ac:dyDescent="0.25">
      <c r="A529" s="13" t="s">
        <v>210</v>
      </c>
      <c r="B529" s="13" t="s">
        <v>446</v>
      </c>
      <c r="C529" s="13" t="s">
        <v>246</v>
      </c>
      <c r="D529" s="13">
        <v>4</v>
      </c>
      <c r="E529" s="13" t="s">
        <v>271</v>
      </c>
    </row>
    <row r="530" spans="1:5" x14ac:dyDescent="0.25">
      <c r="A530" s="13" t="s">
        <v>210</v>
      </c>
      <c r="B530" s="13" t="s">
        <v>446</v>
      </c>
      <c r="C530" s="13" t="s">
        <v>249</v>
      </c>
      <c r="D530" s="13">
        <v>1</v>
      </c>
      <c r="E530" s="13" t="s">
        <v>279</v>
      </c>
    </row>
    <row r="531" spans="1:5" x14ac:dyDescent="0.25">
      <c r="A531" s="13" t="s">
        <v>210</v>
      </c>
      <c r="B531" s="13" t="s">
        <v>447</v>
      </c>
      <c r="C531" s="13" t="s">
        <v>246</v>
      </c>
      <c r="D531" s="13">
        <v>1</v>
      </c>
      <c r="E531" s="13" t="s">
        <v>177</v>
      </c>
    </row>
    <row r="532" spans="1:5" x14ac:dyDescent="0.25">
      <c r="A532" s="13" t="s">
        <v>147</v>
      </c>
      <c r="B532" s="13" t="s">
        <v>448</v>
      </c>
      <c r="C532" s="13" t="s">
        <v>252</v>
      </c>
      <c r="D532" s="13">
        <v>6</v>
      </c>
      <c r="E532" s="13" t="s">
        <v>177</v>
      </c>
    </row>
    <row r="533" spans="1:5" x14ac:dyDescent="0.25">
      <c r="A533" s="13" t="s">
        <v>147</v>
      </c>
      <c r="B533" s="13" t="s">
        <v>448</v>
      </c>
      <c r="C533" s="13" t="s">
        <v>332</v>
      </c>
      <c r="D533" s="13">
        <v>3</v>
      </c>
      <c r="E533" s="13" t="s">
        <v>271</v>
      </c>
    </row>
    <row r="534" spans="1:5" x14ac:dyDescent="0.25">
      <c r="A534" s="13" t="s">
        <v>147</v>
      </c>
      <c r="B534" s="13" t="s">
        <v>448</v>
      </c>
      <c r="C534" s="13" t="s">
        <v>245</v>
      </c>
      <c r="D534" s="13">
        <v>2</v>
      </c>
      <c r="E534" s="13" t="s">
        <v>282</v>
      </c>
    </row>
    <row r="535" spans="1:5" x14ac:dyDescent="0.25">
      <c r="A535" s="13" t="s">
        <v>147</v>
      </c>
      <c r="B535" s="13" t="s">
        <v>449</v>
      </c>
      <c r="C535" s="13" t="s">
        <v>252</v>
      </c>
      <c r="D535" s="13">
        <v>5</v>
      </c>
      <c r="E535" s="13" t="s">
        <v>264</v>
      </c>
    </row>
    <row r="536" spans="1:5" x14ac:dyDescent="0.25">
      <c r="A536" s="13" t="s">
        <v>147</v>
      </c>
      <c r="B536" s="13" t="s">
        <v>449</v>
      </c>
      <c r="C536" s="13" t="s">
        <v>332</v>
      </c>
      <c r="D536" s="13">
        <v>3</v>
      </c>
      <c r="E536" s="13" t="s">
        <v>264</v>
      </c>
    </row>
    <row r="537" spans="1:5" x14ac:dyDescent="0.25">
      <c r="A537" s="13" t="s">
        <v>147</v>
      </c>
      <c r="B537" s="13" t="s">
        <v>449</v>
      </c>
      <c r="C537" s="13" t="s">
        <v>325</v>
      </c>
      <c r="D537" s="13">
        <v>2</v>
      </c>
      <c r="E537" s="13" t="s">
        <v>247</v>
      </c>
    </row>
    <row r="538" spans="1:5" x14ac:dyDescent="0.25">
      <c r="A538" s="13" t="s">
        <v>147</v>
      </c>
      <c r="B538" s="13" t="s">
        <v>449</v>
      </c>
      <c r="C538" s="13" t="s">
        <v>245</v>
      </c>
      <c r="D538" s="13">
        <v>2</v>
      </c>
      <c r="E538" s="13" t="s">
        <v>264</v>
      </c>
    </row>
    <row r="539" spans="1:5" x14ac:dyDescent="0.25">
      <c r="A539" s="13" t="s">
        <v>147</v>
      </c>
      <c r="B539" s="13" t="s">
        <v>450</v>
      </c>
      <c r="C539" s="13" t="s">
        <v>252</v>
      </c>
      <c r="D539" s="13">
        <v>4</v>
      </c>
      <c r="E539" s="13" t="s">
        <v>177</v>
      </c>
    </row>
    <row r="540" spans="1:5" x14ac:dyDescent="0.25">
      <c r="A540" s="13" t="s">
        <v>147</v>
      </c>
      <c r="B540" s="13" t="s">
        <v>450</v>
      </c>
      <c r="C540" s="13" t="s">
        <v>332</v>
      </c>
      <c r="D540" s="13">
        <v>4</v>
      </c>
      <c r="E540" s="13" t="s">
        <v>177</v>
      </c>
    </row>
    <row r="541" spans="1:5" x14ac:dyDescent="0.25">
      <c r="A541" s="13" t="s">
        <v>147</v>
      </c>
      <c r="B541" s="13" t="s">
        <v>450</v>
      </c>
      <c r="C541" s="13" t="s">
        <v>249</v>
      </c>
      <c r="D541" s="13">
        <v>4</v>
      </c>
      <c r="E541" s="13" t="s">
        <v>271</v>
      </c>
    </row>
    <row r="542" spans="1:5" x14ac:dyDescent="0.25">
      <c r="A542" s="13" t="s">
        <v>147</v>
      </c>
      <c r="B542" s="13" t="s">
        <v>450</v>
      </c>
      <c r="C542" s="13" t="s">
        <v>254</v>
      </c>
      <c r="D542" s="13">
        <v>1</v>
      </c>
      <c r="E542" s="13" t="s">
        <v>247</v>
      </c>
    </row>
    <row r="543" spans="1:5" x14ac:dyDescent="0.25">
      <c r="A543" s="13" t="s">
        <v>147</v>
      </c>
      <c r="B543" s="13" t="s">
        <v>450</v>
      </c>
      <c r="C543" s="13" t="s">
        <v>245</v>
      </c>
      <c r="D543" s="13">
        <v>1</v>
      </c>
      <c r="E543" s="13" t="s">
        <v>247</v>
      </c>
    </row>
    <row r="544" spans="1:5" x14ac:dyDescent="0.25">
      <c r="A544" s="13" t="s">
        <v>147</v>
      </c>
      <c r="B544" s="13" t="s">
        <v>450</v>
      </c>
      <c r="C544" s="13" t="s">
        <v>325</v>
      </c>
      <c r="D544" s="13">
        <v>1</v>
      </c>
      <c r="E544" s="13" t="s">
        <v>247</v>
      </c>
    </row>
    <row r="545" spans="1:5" x14ac:dyDescent="0.25">
      <c r="A545" s="13" t="s">
        <v>142</v>
      </c>
      <c r="B545" s="13" t="s">
        <v>451</v>
      </c>
      <c r="C545" s="13" t="s">
        <v>249</v>
      </c>
      <c r="D545" s="13">
        <v>2</v>
      </c>
      <c r="E545" s="13" t="s">
        <v>279</v>
      </c>
    </row>
    <row r="546" spans="1:5" x14ac:dyDescent="0.25">
      <c r="A546" s="13" t="s">
        <v>142</v>
      </c>
      <c r="B546" s="13" t="s">
        <v>451</v>
      </c>
      <c r="C546" s="13" t="s">
        <v>334</v>
      </c>
      <c r="D546" s="13">
        <v>1</v>
      </c>
      <c r="E546" s="13" t="s">
        <v>279</v>
      </c>
    </row>
    <row r="547" spans="1:5" x14ac:dyDescent="0.25">
      <c r="A547" s="13" t="s">
        <v>142</v>
      </c>
      <c r="B547" s="13" t="s">
        <v>451</v>
      </c>
      <c r="C547" s="13" t="s">
        <v>252</v>
      </c>
      <c r="D547" s="13">
        <v>1</v>
      </c>
      <c r="E547" s="13" t="s">
        <v>282</v>
      </c>
    </row>
    <row r="548" spans="1:5" x14ac:dyDescent="0.25">
      <c r="A548" s="13" t="s">
        <v>142</v>
      </c>
      <c r="B548" s="13" t="s">
        <v>451</v>
      </c>
      <c r="C548" s="13" t="s">
        <v>280</v>
      </c>
      <c r="D548" s="13">
        <v>2</v>
      </c>
      <c r="E548" s="13" t="s">
        <v>279</v>
      </c>
    </row>
    <row r="549" spans="1:5" x14ac:dyDescent="0.25">
      <c r="A549" s="13" t="s">
        <v>142</v>
      </c>
      <c r="B549" s="13" t="s">
        <v>451</v>
      </c>
      <c r="C549" s="13" t="s">
        <v>316</v>
      </c>
      <c r="D549" s="13">
        <v>1</v>
      </c>
      <c r="E549" s="13" t="s">
        <v>282</v>
      </c>
    </row>
    <row r="550" spans="1:5" x14ac:dyDescent="0.25">
      <c r="A550" s="13" t="s">
        <v>142</v>
      </c>
      <c r="B550" s="13" t="s">
        <v>452</v>
      </c>
      <c r="C550" s="13" t="s">
        <v>252</v>
      </c>
      <c r="D550" s="13">
        <v>3</v>
      </c>
      <c r="E550" s="13" t="s">
        <v>282</v>
      </c>
    </row>
    <row r="551" spans="1:5" x14ac:dyDescent="0.25">
      <c r="A551" s="13" t="s">
        <v>142</v>
      </c>
      <c r="B551" s="13" t="s">
        <v>452</v>
      </c>
      <c r="C551" s="13" t="s">
        <v>249</v>
      </c>
      <c r="D551" s="13">
        <v>3</v>
      </c>
      <c r="E551" s="13" t="s">
        <v>279</v>
      </c>
    </row>
    <row r="552" spans="1:5" x14ac:dyDescent="0.25">
      <c r="A552" s="13" t="s">
        <v>142</v>
      </c>
      <c r="B552" s="13" t="s">
        <v>452</v>
      </c>
      <c r="C552" s="13" t="s">
        <v>278</v>
      </c>
      <c r="D552" s="13">
        <v>1</v>
      </c>
      <c r="E552" s="13" t="s">
        <v>279</v>
      </c>
    </row>
    <row r="553" spans="1:5" x14ac:dyDescent="0.25">
      <c r="A553" s="13" t="s">
        <v>142</v>
      </c>
      <c r="B553" s="13" t="s">
        <v>452</v>
      </c>
      <c r="C553" s="13" t="s">
        <v>334</v>
      </c>
      <c r="D553" s="13">
        <v>1</v>
      </c>
      <c r="E553" s="13" t="s">
        <v>279</v>
      </c>
    </row>
    <row r="554" spans="1:5" x14ac:dyDescent="0.25">
      <c r="A554" s="13" t="s">
        <v>142</v>
      </c>
      <c r="B554" s="13" t="s">
        <v>452</v>
      </c>
      <c r="C554" s="13" t="s">
        <v>280</v>
      </c>
      <c r="D554" s="13">
        <v>1</v>
      </c>
      <c r="E554" s="13" t="s">
        <v>279</v>
      </c>
    </row>
    <row r="555" spans="1:5" x14ac:dyDescent="0.25">
      <c r="A555" s="13" t="s">
        <v>142</v>
      </c>
      <c r="B555" s="13" t="s">
        <v>453</v>
      </c>
      <c r="C555" s="13" t="s">
        <v>252</v>
      </c>
      <c r="D555" s="13">
        <v>2</v>
      </c>
      <c r="E555" s="13" t="s">
        <v>282</v>
      </c>
    </row>
    <row r="556" spans="1:5" x14ac:dyDescent="0.25">
      <c r="A556" s="13" t="s">
        <v>142</v>
      </c>
      <c r="B556" s="13" t="s">
        <v>453</v>
      </c>
      <c r="C556" s="13" t="s">
        <v>278</v>
      </c>
      <c r="D556" s="13">
        <v>3</v>
      </c>
      <c r="E556" s="13" t="s">
        <v>279</v>
      </c>
    </row>
    <row r="557" spans="1:5" x14ac:dyDescent="0.25">
      <c r="A557" s="13" t="s">
        <v>142</v>
      </c>
      <c r="B557" s="13" t="s">
        <v>453</v>
      </c>
      <c r="C557" s="13" t="s">
        <v>325</v>
      </c>
      <c r="D557" s="13">
        <v>1</v>
      </c>
      <c r="E557" s="13" t="s">
        <v>279</v>
      </c>
    </row>
    <row r="558" spans="1:5" x14ac:dyDescent="0.25">
      <c r="A558" s="13" t="s">
        <v>142</v>
      </c>
      <c r="B558" s="13" t="s">
        <v>453</v>
      </c>
      <c r="C558" s="13" t="s">
        <v>249</v>
      </c>
      <c r="D558" s="13">
        <v>1</v>
      </c>
      <c r="E558" s="13" t="s">
        <v>279</v>
      </c>
    </row>
    <row r="559" spans="1:5" x14ac:dyDescent="0.25">
      <c r="A559" s="13" t="s">
        <v>142</v>
      </c>
      <c r="B559" s="13" t="s">
        <v>453</v>
      </c>
      <c r="C559" s="13" t="s">
        <v>316</v>
      </c>
      <c r="D559" s="13">
        <v>2</v>
      </c>
      <c r="E559" s="13" t="s">
        <v>279</v>
      </c>
    </row>
    <row r="560" spans="1:5" x14ac:dyDescent="0.25">
      <c r="A560" s="13" t="s">
        <v>214</v>
      </c>
      <c r="B560" s="13" t="s">
        <v>454</v>
      </c>
      <c r="C560" s="13" t="s">
        <v>246</v>
      </c>
      <c r="D560" s="13">
        <v>1</v>
      </c>
      <c r="E560" s="13" t="s">
        <v>264</v>
      </c>
    </row>
    <row r="561" spans="1:5" x14ac:dyDescent="0.25">
      <c r="A561" s="13" t="s">
        <v>214</v>
      </c>
      <c r="B561" s="13" t="s">
        <v>455</v>
      </c>
      <c r="C561" s="13" t="s">
        <v>246</v>
      </c>
      <c r="D561" s="13">
        <v>2</v>
      </c>
      <c r="E561" s="13" t="s">
        <v>271</v>
      </c>
    </row>
    <row r="562" spans="1:5" x14ac:dyDescent="0.25">
      <c r="A562" s="13" t="s">
        <v>214</v>
      </c>
      <c r="B562" s="13" t="s">
        <v>455</v>
      </c>
      <c r="C562" s="13" t="s">
        <v>334</v>
      </c>
      <c r="D562" s="13">
        <v>1</v>
      </c>
      <c r="E562" s="13" t="s">
        <v>279</v>
      </c>
    </row>
    <row r="563" spans="1:5" x14ac:dyDescent="0.25">
      <c r="A563" s="13" t="s">
        <v>214</v>
      </c>
      <c r="B563" s="13" t="s">
        <v>456</v>
      </c>
      <c r="C563" s="13" t="s">
        <v>246</v>
      </c>
      <c r="D563" s="13">
        <v>3</v>
      </c>
      <c r="E563" s="13" t="s">
        <v>264</v>
      </c>
    </row>
    <row r="564" spans="1:5" x14ac:dyDescent="0.25">
      <c r="A564" s="13" t="s">
        <v>208</v>
      </c>
      <c r="B564" s="13" t="s">
        <v>457</v>
      </c>
      <c r="C564" s="13" t="s">
        <v>246</v>
      </c>
      <c r="D564" s="13">
        <v>3</v>
      </c>
      <c r="E564" s="13" t="s">
        <v>264</v>
      </c>
    </row>
    <row r="565" spans="1:5" x14ac:dyDescent="0.25">
      <c r="A565" s="13" t="s">
        <v>208</v>
      </c>
      <c r="B565" s="13" t="s">
        <v>458</v>
      </c>
      <c r="C565" s="13" t="s">
        <v>246</v>
      </c>
      <c r="D565" s="13">
        <v>3</v>
      </c>
      <c r="E565" s="13" t="s">
        <v>282</v>
      </c>
    </row>
    <row r="566" spans="1:5" x14ac:dyDescent="0.25">
      <c r="A566" s="13" t="s">
        <v>208</v>
      </c>
      <c r="B566" s="13" t="s">
        <v>459</v>
      </c>
      <c r="C566" s="13" t="s">
        <v>246</v>
      </c>
      <c r="D566" s="13">
        <v>2</v>
      </c>
      <c r="E566" s="13" t="s">
        <v>271</v>
      </c>
    </row>
    <row r="567" spans="1:5" x14ac:dyDescent="0.25">
      <c r="A567" s="13" t="s">
        <v>203</v>
      </c>
      <c r="B567" s="13" t="s">
        <v>460</v>
      </c>
      <c r="C567" s="13" t="s">
        <v>246</v>
      </c>
      <c r="D567" s="13">
        <v>5</v>
      </c>
      <c r="E567" s="13" t="s">
        <v>264</v>
      </c>
    </row>
    <row r="568" spans="1:5" x14ac:dyDescent="0.25">
      <c r="A568" s="13" t="s">
        <v>203</v>
      </c>
      <c r="B568" s="13" t="s">
        <v>461</v>
      </c>
      <c r="C568" s="13" t="s">
        <v>246</v>
      </c>
      <c r="D568" s="13">
        <v>2</v>
      </c>
      <c r="E568" s="13" t="s">
        <v>177</v>
      </c>
    </row>
    <row r="569" spans="1:5" x14ac:dyDescent="0.25">
      <c r="A569" s="13" t="s">
        <v>203</v>
      </c>
      <c r="B569" s="13" t="s">
        <v>462</v>
      </c>
      <c r="C569" s="13" t="s">
        <v>246</v>
      </c>
      <c r="D569" s="13">
        <v>3</v>
      </c>
      <c r="E569" s="13" t="s">
        <v>177</v>
      </c>
    </row>
    <row r="570" spans="1:5" x14ac:dyDescent="0.25">
      <c r="A570" s="13" t="s">
        <v>117</v>
      </c>
      <c r="B570" s="13" t="s">
        <v>463</v>
      </c>
      <c r="C570" s="13" t="s">
        <v>332</v>
      </c>
      <c r="D570" s="13">
        <v>4</v>
      </c>
      <c r="E570" s="13" t="s">
        <v>247</v>
      </c>
    </row>
    <row r="571" spans="1:5" x14ac:dyDescent="0.25">
      <c r="A571" s="13" t="s">
        <v>117</v>
      </c>
      <c r="B571" s="13" t="s">
        <v>463</v>
      </c>
      <c r="C571" s="13" t="s">
        <v>464</v>
      </c>
      <c r="D571" s="13">
        <v>3</v>
      </c>
      <c r="E571" s="13" t="s">
        <v>177</v>
      </c>
    </row>
    <row r="572" spans="1:5" x14ac:dyDescent="0.25">
      <c r="A572" s="13" t="s">
        <v>117</v>
      </c>
      <c r="B572" s="13" t="s">
        <v>463</v>
      </c>
      <c r="C572" s="13" t="s">
        <v>252</v>
      </c>
      <c r="D572" s="13">
        <v>4</v>
      </c>
      <c r="E572" s="13" t="s">
        <v>264</v>
      </c>
    </row>
    <row r="573" spans="1:5" x14ac:dyDescent="0.25">
      <c r="A573" s="13" t="s">
        <v>117</v>
      </c>
      <c r="B573" s="13" t="s">
        <v>463</v>
      </c>
      <c r="C573" s="13" t="s">
        <v>245</v>
      </c>
      <c r="D573" s="13">
        <v>2</v>
      </c>
      <c r="E573" s="13" t="s">
        <v>264</v>
      </c>
    </row>
    <row r="574" spans="1:5" x14ac:dyDescent="0.25">
      <c r="A574" s="13" t="s">
        <v>117</v>
      </c>
      <c r="B574" s="13" t="s">
        <v>463</v>
      </c>
      <c r="C574" s="13" t="s">
        <v>280</v>
      </c>
      <c r="D574" s="13">
        <v>3</v>
      </c>
      <c r="E574" s="13" t="s">
        <v>177</v>
      </c>
    </row>
    <row r="575" spans="1:5" x14ac:dyDescent="0.25">
      <c r="A575" s="13" t="s">
        <v>117</v>
      </c>
      <c r="B575" s="13" t="s">
        <v>463</v>
      </c>
      <c r="C575" s="13" t="s">
        <v>253</v>
      </c>
      <c r="D575" s="13">
        <v>2</v>
      </c>
      <c r="E575" s="13" t="s">
        <v>247</v>
      </c>
    </row>
    <row r="576" spans="1:5" x14ac:dyDescent="0.25">
      <c r="A576" s="13" t="s">
        <v>117</v>
      </c>
      <c r="B576" s="13" t="s">
        <v>465</v>
      </c>
      <c r="C576" s="13" t="s">
        <v>246</v>
      </c>
      <c r="D576" s="13">
        <v>4</v>
      </c>
      <c r="E576" s="13" t="s">
        <v>247</v>
      </c>
    </row>
    <row r="577" spans="1:5" x14ac:dyDescent="0.25">
      <c r="A577" s="13" t="s">
        <v>117</v>
      </c>
      <c r="B577" s="13" t="s">
        <v>465</v>
      </c>
      <c r="C577" s="13" t="s">
        <v>249</v>
      </c>
      <c r="D577" s="13">
        <v>2</v>
      </c>
      <c r="E577" s="13" t="s">
        <v>271</v>
      </c>
    </row>
    <row r="578" spans="1:5" x14ac:dyDescent="0.25">
      <c r="A578" s="13" t="s">
        <v>117</v>
      </c>
      <c r="B578" s="13" t="s">
        <v>465</v>
      </c>
      <c r="C578" s="13" t="s">
        <v>245</v>
      </c>
      <c r="D578" s="13">
        <v>2</v>
      </c>
      <c r="E578" s="13" t="s">
        <v>264</v>
      </c>
    </row>
    <row r="579" spans="1:5" x14ac:dyDescent="0.25">
      <c r="A579" s="13" t="s">
        <v>117</v>
      </c>
      <c r="B579" s="13" t="s">
        <v>465</v>
      </c>
      <c r="C579" s="13" t="s">
        <v>252</v>
      </c>
      <c r="D579" s="13">
        <v>3</v>
      </c>
      <c r="E579" s="13" t="s">
        <v>177</v>
      </c>
    </row>
    <row r="580" spans="1:5" x14ac:dyDescent="0.25">
      <c r="A580" s="13" t="s">
        <v>117</v>
      </c>
      <c r="B580" s="13" t="s">
        <v>465</v>
      </c>
      <c r="C580" s="13" t="s">
        <v>464</v>
      </c>
      <c r="D580" s="13">
        <v>2</v>
      </c>
      <c r="E580" s="13" t="s">
        <v>271</v>
      </c>
    </row>
    <row r="581" spans="1:5" x14ac:dyDescent="0.25">
      <c r="A581" s="13" t="s">
        <v>117</v>
      </c>
      <c r="B581" s="13" t="s">
        <v>465</v>
      </c>
      <c r="C581" s="13" t="s">
        <v>325</v>
      </c>
      <c r="D581" s="13">
        <v>1</v>
      </c>
      <c r="E581" s="13" t="s">
        <v>271</v>
      </c>
    </row>
    <row r="582" spans="1:5" x14ac:dyDescent="0.25">
      <c r="A582" s="13" t="s">
        <v>117</v>
      </c>
      <c r="B582" s="13" t="s">
        <v>465</v>
      </c>
      <c r="C582" s="13" t="s">
        <v>280</v>
      </c>
      <c r="D582" s="13">
        <v>1</v>
      </c>
      <c r="E582" s="13" t="s">
        <v>264</v>
      </c>
    </row>
    <row r="583" spans="1:5" x14ac:dyDescent="0.25">
      <c r="A583" s="13" t="s">
        <v>117</v>
      </c>
      <c r="B583" s="13" t="s">
        <v>465</v>
      </c>
      <c r="C583" s="13" t="s">
        <v>332</v>
      </c>
      <c r="D583" s="13">
        <v>3</v>
      </c>
      <c r="E583" s="13" t="s">
        <v>247</v>
      </c>
    </row>
    <row r="584" spans="1:5" x14ac:dyDescent="0.25">
      <c r="A584" s="13" t="s">
        <v>117</v>
      </c>
      <c r="B584" s="13" t="s">
        <v>465</v>
      </c>
      <c r="C584" s="13" t="s">
        <v>273</v>
      </c>
      <c r="D584" s="13">
        <v>1</v>
      </c>
      <c r="E584" s="13" t="s">
        <v>247</v>
      </c>
    </row>
    <row r="585" spans="1:5" x14ac:dyDescent="0.25">
      <c r="A585" s="13" t="s">
        <v>117</v>
      </c>
      <c r="B585" s="13" t="s">
        <v>466</v>
      </c>
      <c r="C585" s="13" t="s">
        <v>332</v>
      </c>
      <c r="D585" s="13">
        <v>3</v>
      </c>
      <c r="E585" s="13" t="s">
        <v>177</v>
      </c>
    </row>
    <row r="586" spans="1:5" x14ac:dyDescent="0.25">
      <c r="A586" s="13" t="s">
        <v>117</v>
      </c>
      <c r="B586" s="13" t="s">
        <v>466</v>
      </c>
      <c r="C586" s="13" t="s">
        <v>249</v>
      </c>
      <c r="D586" s="13">
        <v>4</v>
      </c>
      <c r="E586" s="13" t="s">
        <v>177</v>
      </c>
    </row>
    <row r="587" spans="1:5" x14ac:dyDescent="0.25">
      <c r="A587" s="13" t="s">
        <v>117</v>
      </c>
      <c r="B587" s="13" t="s">
        <v>466</v>
      </c>
      <c r="C587" s="13" t="s">
        <v>252</v>
      </c>
      <c r="D587" s="13">
        <v>3</v>
      </c>
      <c r="E587" s="13" t="s">
        <v>264</v>
      </c>
    </row>
    <row r="588" spans="1:5" x14ac:dyDescent="0.25">
      <c r="A588" s="13" t="s">
        <v>117</v>
      </c>
      <c r="B588" s="13" t="s">
        <v>466</v>
      </c>
      <c r="C588" s="13" t="s">
        <v>245</v>
      </c>
      <c r="D588" s="13">
        <v>1</v>
      </c>
      <c r="E588" s="13" t="s">
        <v>264</v>
      </c>
    </row>
    <row r="589" spans="1:5" x14ac:dyDescent="0.25">
      <c r="A589" s="13" t="s">
        <v>117</v>
      </c>
      <c r="B589" s="13" t="s">
        <v>466</v>
      </c>
      <c r="C589" s="13" t="s">
        <v>464</v>
      </c>
      <c r="D589" s="13">
        <v>1</v>
      </c>
      <c r="E589" s="13" t="s">
        <v>271</v>
      </c>
    </row>
    <row r="590" spans="1:5" x14ac:dyDescent="0.25">
      <c r="A590" s="13" t="s">
        <v>117</v>
      </c>
      <c r="B590" s="13" t="s">
        <v>466</v>
      </c>
      <c r="C590" s="13" t="s">
        <v>322</v>
      </c>
      <c r="D590" s="13">
        <v>1</v>
      </c>
      <c r="E590" s="13" t="s">
        <v>247</v>
      </c>
    </row>
    <row r="591" spans="1:5" x14ac:dyDescent="0.25">
      <c r="A591" s="13" t="s">
        <v>117</v>
      </c>
      <c r="B591" s="13" t="s">
        <v>466</v>
      </c>
      <c r="C591" s="13" t="s">
        <v>259</v>
      </c>
      <c r="D591" s="13">
        <v>1</v>
      </c>
      <c r="E591" s="13" t="s">
        <v>264</v>
      </c>
    </row>
    <row r="592" spans="1:5" x14ac:dyDescent="0.25">
      <c r="A592" s="13" t="s">
        <v>113</v>
      </c>
      <c r="B592" s="13" t="s">
        <v>467</v>
      </c>
      <c r="C592" s="13" t="s">
        <v>254</v>
      </c>
      <c r="D592" s="13">
        <v>3</v>
      </c>
      <c r="E592" s="13" t="s">
        <v>247</v>
      </c>
    </row>
    <row r="593" spans="1:5" x14ac:dyDescent="0.25">
      <c r="A593" s="13" t="s">
        <v>113</v>
      </c>
      <c r="B593" s="13" t="s">
        <v>467</v>
      </c>
      <c r="C593" s="13" t="s">
        <v>278</v>
      </c>
      <c r="D593" s="13">
        <v>2</v>
      </c>
      <c r="E593" s="13" t="s">
        <v>247</v>
      </c>
    </row>
    <row r="594" spans="1:5" x14ac:dyDescent="0.25">
      <c r="A594" s="13" t="s">
        <v>113</v>
      </c>
      <c r="B594" s="13" t="s">
        <v>468</v>
      </c>
      <c r="C594" s="13" t="s">
        <v>278</v>
      </c>
      <c r="D594" s="13">
        <v>4</v>
      </c>
      <c r="E594" s="13" t="s">
        <v>247</v>
      </c>
    </row>
    <row r="595" spans="1:5" x14ac:dyDescent="0.25">
      <c r="A595" s="13" t="s">
        <v>113</v>
      </c>
      <c r="B595" s="13" t="s">
        <v>468</v>
      </c>
      <c r="C595" s="13" t="s">
        <v>426</v>
      </c>
      <c r="D595" s="13">
        <v>4</v>
      </c>
      <c r="E595" s="13" t="s">
        <v>247</v>
      </c>
    </row>
    <row r="596" spans="1:5" x14ac:dyDescent="0.25">
      <c r="A596" s="13" t="s">
        <v>113</v>
      </c>
      <c r="B596" s="13" t="s">
        <v>468</v>
      </c>
      <c r="C596" s="13" t="s">
        <v>254</v>
      </c>
      <c r="D596" s="13">
        <v>2</v>
      </c>
      <c r="E596" s="13" t="s">
        <v>247</v>
      </c>
    </row>
    <row r="597" spans="1:5" x14ac:dyDescent="0.25">
      <c r="A597" s="13" t="s">
        <v>113</v>
      </c>
      <c r="B597" s="13" t="s">
        <v>469</v>
      </c>
      <c r="C597" s="13" t="s">
        <v>278</v>
      </c>
      <c r="D597" s="13">
        <v>4</v>
      </c>
      <c r="E597" s="13" t="s">
        <v>177</v>
      </c>
    </row>
    <row r="598" spans="1:5" x14ac:dyDescent="0.25">
      <c r="A598" s="13" t="s">
        <v>113</v>
      </c>
      <c r="B598" s="13" t="s">
        <v>469</v>
      </c>
      <c r="C598" s="13" t="s">
        <v>249</v>
      </c>
      <c r="D598" s="13">
        <v>3</v>
      </c>
      <c r="E598" s="13" t="s">
        <v>247</v>
      </c>
    </row>
    <row r="599" spans="1:5" x14ac:dyDescent="0.25">
      <c r="A599" s="13" t="s">
        <v>113</v>
      </c>
      <c r="B599" s="13" t="s">
        <v>469</v>
      </c>
      <c r="C599" s="13" t="s">
        <v>426</v>
      </c>
      <c r="D599" s="13">
        <v>3</v>
      </c>
      <c r="E599" s="13" t="s">
        <v>247</v>
      </c>
    </row>
    <row r="600" spans="1:5" x14ac:dyDescent="0.25">
      <c r="A600" s="13" t="s">
        <v>113</v>
      </c>
      <c r="B600" s="13" t="s">
        <v>469</v>
      </c>
      <c r="C600" s="13" t="s">
        <v>254</v>
      </c>
      <c r="D600" s="13">
        <v>1</v>
      </c>
      <c r="E600" s="13" t="s">
        <v>247</v>
      </c>
    </row>
    <row r="601" spans="1:5" x14ac:dyDescent="0.25">
      <c r="A601" s="13" t="s">
        <v>113</v>
      </c>
      <c r="B601" s="13" t="s">
        <v>469</v>
      </c>
      <c r="C601" s="13" t="s">
        <v>332</v>
      </c>
      <c r="D601" s="13">
        <v>1</v>
      </c>
      <c r="E601" s="13" t="s">
        <v>279</v>
      </c>
    </row>
    <row r="602" spans="1:5" x14ac:dyDescent="0.25">
      <c r="A602" s="13" t="s">
        <v>239</v>
      </c>
      <c r="B602" s="13" t="s">
        <v>470</v>
      </c>
      <c r="C602" s="13" t="s">
        <v>249</v>
      </c>
      <c r="D602" s="13">
        <v>4</v>
      </c>
      <c r="E602" s="13" t="s">
        <v>177</v>
      </c>
    </row>
    <row r="603" spans="1:5" x14ac:dyDescent="0.25">
      <c r="A603" s="13" t="s">
        <v>239</v>
      </c>
      <c r="B603" s="13" t="s">
        <v>470</v>
      </c>
      <c r="C603" s="13" t="s">
        <v>334</v>
      </c>
      <c r="D603" s="13">
        <v>1</v>
      </c>
      <c r="E603" s="13" t="s">
        <v>264</v>
      </c>
    </row>
    <row r="604" spans="1:5" x14ac:dyDescent="0.25">
      <c r="A604" s="13" t="s">
        <v>239</v>
      </c>
      <c r="B604" s="13" t="s">
        <v>470</v>
      </c>
      <c r="C604" s="13" t="s">
        <v>471</v>
      </c>
      <c r="D604" s="13">
        <v>2</v>
      </c>
      <c r="E604" s="13" t="s">
        <v>247</v>
      </c>
    </row>
    <row r="605" spans="1:5" x14ac:dyDescent="0.25">
      <c r="A605" s="13" t="s">
        <v>239</v>
      </c>
      <c r="B605" s="13" t="s">
        <v>470</v>
      </c>
      <c r="C605" s="13" t="s">
        <v>246</v>
      </c>
      <c r="D605" s="13">
        <v>4</v>
      </c>
      <c r="E605" s="13" t="s">
        <v>177</v>
      </c>
    </row>
    <row r="606" spans="1:5" x14ac:dyDescent="0.25">
      <c r="A606" s="13" t="s">
        <v>239</v>
      </c>
      <c r="B606" s="13" t="s">
        <v>470</v>
      </c>
      <c r="C606" s="13" t="s">
        <v>426</v>
      </c>
      <c r="D606" s="13">
        <v>2</v>
      </c>
      <c r="E606" s="13" t="s">
        <v>264</v>
      </c>
    </row>
    <row r="607" spans="1:5" x14ac:dyDescent="0.25">
      <c r="A607" s="13" t="s">
        <v>239</v>
      </c>
      <c r="B607" s="13" t="s">
        <v>470</v>
      </c>
      <c r="C607" s="13" t="s">
        <v>267</v>
      </c>
      <c r="D607" s="13">
        <v>1</v>
      </c>
      <c r="E607" s="13" t="s">
        <v>264</v>
      </c>
    </row>
    <row r="608" spans="1:5" x14ac:dyDescent="0.25">
      <c r="A608" s="13" t="s">
        <v>239</v>
      </c>
      <c r="B608" s="13" t="s">
        <v>472</v>
      </c>
      <c r="C608" s="13" t="s">
        <v>267</v>
      </c>
      <c r="D608" s="13">
        <v>4</v>
      </c>
      <c r="E608" s="13" t="s">
        <v>247</v>
      </c>
    </row>
    <row r="609" spans="1:5" x14ac:dyDescent="0.25">
      <c r="A609" s="13" t="s">
        <v>239</v>
      </c>
      <c r="B609" s="13" t="s">
        <v>472</v>
      </c>
      <c r="C609" s="13" t="s">
        <v>473</v>
      </c>
      <c r="D609" s="13">
        <v>1</v>
      </c>
      <c r="E609" s="13" t="s">
        <v>177</v>
      </c>
    </row>
    <row r="610" spans="1:5" x14ac:dyDescent="0.25">
      <c r="A610" s="13" t="s">
        <v>239</v>
      </c>
      <c r="B610" s="13" t="s">
        <v>472</v>
      </c>
      <c r="C610" s="13" t="s">
        <v>249</v>
      </c>
      <c r="D610" s="13">
        <v>1</v>
      </c>
      <c r="E610" s="13" t="s">
        <v>177</v>
      </c>
    </row>
    <row r="611" spans="1:5" x14ac:dyDescent="0.25">
      <c r="A611" s="13" t="s">
        <v>239</v>
      </c>
      <c r="B611" s="13" t="s">
        <v>472</v>
      </c>
      <c r="C611" s="13" t="s">
        <v>426</v>
      </c>
      <c r="D611" s="13">
        <v>2</v>
      </c>
      <c r="E611" s="13" t="s">
        <v>247</v>
      </c>
    </row>
    <row r="612" spans="1:5" x14ac:dyDescent="0.25">
      <c r="A612" s="13" t="s">
        <v>239</v>
      </c>
      <c r="B612" s="13" t="s">
        <v>472</v>
      </c>
      <c r="C612" s="13" t="s">
        <v>334</v>
      </c>
      <c r="D612" s="13">
        <v>1</v>
      </c>
      <c r="E612" s="13" t="s">
        <v>271</v>
      </c>
    </row>
    <row r="613" spans="1:5" x14ac:dyDescent="0.25">
      <c r="A613" s="13" t="s">
        <v>239</v>
      </c>
      <c r="B613" s="13" t="s">
        <v>472</v>
      </c>
      <c r="C613" s="13" t="s">
        <v>471</v>
      </c>
      <c r="D613" s="13">
        <v>1</v>
      </c>
      <c r="E613" s="13" t="s">
        <v>247</v>
      </c>
    </row>
    <row r="614" spans="1:5" x14ac:dyDescent="0.25">
      <c r="A614" s="13" t="s">
        <v>239</v>
      </c>
      <c r="B614" s="13" t="s">
        <v>472</v>
      </c>
      <c r="C614" s="13" t="s">
        <v>254</v>
      </c>
      <c r="D614" s="13">
        <v>2</v>
      </c>
      <c r="E614" s="13" t="s">
        <v>247</v>
      </c>
    </row>
    <row r="615" spans="1:5" x14ac:dyDescent="0.25">
      <c r="A615" s="13" t="s">
        <v>239</v>
      </c>
      <c r="B615" s="13" t="s">
        <v>474</v>
      </c>
      <c r="C615" s="13" t="s">
        <v>246</v>
      </c>
      <c r="D615" s="13">
        <v>1</v>
      </c>
      <c r="E615" s="13" t="s">
        <v>247</v>
      </c>
    </row>
    <row r="616" spans="1:5" x14ac:dyDescent="0.25">
      <c r="A616" s="13" t="s">
        <v>239</v>
      </c>
      <c r="B616" s="13" t="s">
        <v>474</v>
      </c>
      <c r="C616" s="13" t="s">
        <v>267</v>
      </c>
      <c r="D616" s="13">
        <v>3</v>
      </c>
      <c r="E616" s="13" t="s">
        <v>264</v>
      </c>
    </row>
    <row r="617" spans="1:5" x14ac:dyDescent="0.25">
      <c r="A617" s="13" t="s">
        <v>239</v>
      </c>
      <c r="B617" s="13" t="s">
        <v>474</v>
      </c>
      <c r="C617" s="13" t="s">
        <v>334</v>
      </c>
      <c r="D617" s="13">
        <v>2</v>
      </c>
      <c r="E617" s="13" t="s">
        <v>271</v>
      </c>
    </row>
    <row r="618" spans="1:5" x14ac:dyDescent="0.25">
      <c r="A618" s="13" t="s">
        <v>239</v>
      </c>
      <c r="B618" s="13" t="s">
        <v>474</v>
      </c>
      <c r="C618" s="13" t="s">
        <v>426</v>
      </c>
      <c r="D618" s="13">
        <v>2</v>
      </c>
      <c r="E618" s="13" t="s">
        <v>247</v>
      </c>
    </row>
    <row r="619" spans="1:5" x14ac:dyDescent="0.25">
      <c r="A619" s="13" t="s">
        <v>239</v>
      </c>
      <c r="B619" s="13" t="s">
        <v>474</v>
      </c>
      <c r="C619" s="13" t="s">
        <v>475</v>
      </c>
      <c r="D619" s="13">
        <v>2</v>
      </c>
      <c r="E619" s="13" t="s">
        <v>271</v>
      </c>
    </row>
    <row r="620" spans="1:5" x14ac:dyDescent="0.25">
      <c r="A620" s="13" t="s">
        <v>239</v>
      </c>
      <c r="B620" s="13" t="s">
        <v>474</v>
      </c>
      <c r="C620" s="13" t="s">
        <v>274</v>
      </c>
      <c r="D620" s="13">
        <v>1</v>
      </c>
      <c r="E620" s="13" t="s">
        <v>177</v>
      </c>
    </row>
    <row r="621" spans="1:5" x14ac:dyDescent="0.25">
      <c r="A621" s="13" t="s">
        <v>239</v>
      </c>
      <c r="B621" s="13" t="s">
        <v>474</v>
      </c>
      <c r="C621" s="13" t="s">
        <v>476</v>
      </c>
      <c r="D621" s="13">
        <v>2</v>
      </c>
      <c r="E621" s="13" t="s">
        <v>247</v>
      </c>
    </row>
    <row r="622" spans="1:5" x14ac:dyDescent="0.25">
      <c r="A622" s="13" t="s">
        <v>235</v>
      </c>
      <c r="B622" s="13" t="s">
        <v>477</v>
      </c>
      <c r="C622" s="13" t="s">
        <v>252</v>
      </c>
      <c r="D622" s="13">
        <v>5</v>
      </c>
      <c r="E622" s="13" t="s">
        <v>264</v>
      </c>
    </row>
    <row r="623" spans="1:5" x14ac:dyDescent="0.25">
      <c r="A623" s="13" t="s">
        <v>235</v>
      </c>
      <c r="B623" s="13" t="s">
        <v>477</v>
      </c>
      <c r="C623" s="13" t="s">
        <v>332</v>
      </c>
      <c r="D623" s="13">
        <v>3</v>
      </c>
      <c r="E623" s="13" t="s">
        <v>177</v>
      </c>
    </row>
    <row r="624" spans="1:5" x14ac:dyDescent="0.25">
      <c r="A624" s="13" t="s">
        <v>235</v>
      </c>
      <c r="B624" s="13" t="s">
        <v>477</v>
      </c>
      <c r="C624" s="13" t="s">
        <v>249</v>
      </c>
      <c r="D624" s="13">
        <v>1</v>
      </c>
      <c r="E624" s="13" t="s">
        <v>279</v>
      </c>
    </row>
    <row r="625" spans="1:5" x14ac:dyDescent="0.25">
      <c r="A625" s="13" t="s">
        <v>235</v>
      </c>
      <c r="B625" s="13" t="s">
        <v>477</v>
      </c>
      <c r="C625" s="13" t="s">
        <v>259</v>
      </c>
      <c r="D625" s="13">
        <v>1</v>
      </c>
      <c r="E625" s="13" t="s">
        <v>271</v>
      </c>
    </row>
    <row r="626" spans="1:5" x14ac:dyDescent="0.25">
      <c r="A626" s="13" t="s">
        <v>235</v>
      </c>
      <c r="B626" s="13" t="s">
        <v>477</v>
      </c>
      <c r="C626" s="13" t="s">
        <v>245</v>
      </c>
      <c r="D626" s="13">
        <v>1</v>
      </c>
      <c r="E626" s="13" t="s">
        <v>279</v>
      </c>
    </row>
    <row r="627" spans="1:5" x14ac:dyDescent="0.25">
      <c r="A627" s="13" t="s">
        <v>235</v>
      </c>
      <c r="B627" s="13" t="s">
        <v>477</v>
      </c>
      <c r="C627" s="13" t="s">
        <v>475</v>
      </c>
      <c r="D627" s="13">
        <v>1</v>
      </c>
      <c r="E627" s="13" t="s">
        <v>247</v>
      </c>
    </row>
    <row r="628" spans="1:5" x14ac:dyDescent="0.25">
      <c r="A628" s="13" t="s">
        <v>235</v>
      </c>
      <c r="B628" s="13" t="s">
        <v>478</v>
      </c>
      <c r="C628" s="13" t="s">
        <v>252</v>
      </c>
      <c r="D628" s="13">
        <v>5</v>
      </c>
      <c r="E628" s="13" t="s">
        <v>177</v>
      </c>
    </row>
    <row r="629" spans="1:5" x14ac:dyDescent="0.25">
      <c r="A629" s="13" t="s">
        <v>235</v>
      </c>
      <c r="B629" s="13" t="s">
        <v>478</v>
      </c>
      <c r="C629" s="13" t="s">
        <v>259</v>
      </c>
      <c r="D629" s="13">
        <v>2</v>
      </c>
      <c r="E629" s="13" t="s">
        <v>177</v>
      </c>
    </row>
    <row r="630" spans="1:5" x14ac:dyDescent="0.25">
      <c r="A630" s="13" t="s">
        <v>235</v>
      </c>
      <c r="B630" s="13" t="s">
        <v>478</v>
      </c>
      <c r="C630" s="13" t="s">
        <v>249</v>
      </c>
      <c r="D630" s="13">
        <v>1</v>
      </c>
      <c r="E630" s="13" t="s">
        <v>247</v>
      </c>
    </row>
    <row r="631" spans="1:5" x14ac:dyDescent="0.25">
      <c r="A631" s="13" t="s">
        <v>235</v>
      </c>
      <c r="B631" s="13" t="s">
        <v>478</v>
      </c>
      <c r="C631" s="13" t="s">
        <v>269</v>
      </c>
      <c r="D631" s="13">
        <v>3</v>
      </c>
      <c r="E631" s="13" t="s">
        <v>282</v>
      </c>
    </row>
    <row r="632" spans="1:5" x14ac:dyDescent="0.25">
      <c r="A632" s="13" t="s">
        <v>235</v>
      </c>
      <c r="B632" s="13" t="s">
        <v>479</v>
      </c>
      <c r="C632" s="13" t="s">
        <v>252</v>
      </c>
      <c r="D632" s="13">
        <v>4</v>
      </c>
      <c r="E632" s="13" t="s">
        <v>177</v>
      </c>
    </row>
    <row r="633" spans="1:5" x14ac:dyDescent="0.25">
      <c r="A633" s="13" t="s">
        <v>235</v>
      </c>
      <c r="B633" s="13" t="s">
        <v>479</v>
      </c>
      <c r="C633" s="13" t="s">
        <v>269</v>
      </c>
      <c r="D633" s="13">
        <v>2</v>
      </c>
      <c r="E633" s="13" t="s">
        <v>271</v>
      </c>
    </row>
    <row r="634" spans="1:5" x14ac:dyDescent="0.25">
      <c r="A634" s="13" t="s">
        <v>235</v>
      </c>
      <c r="B634" s="13" t="s">
        <v>479</v>
      </c>
      <c r="C634" s="13" t="s">
        <v>332</v>
      </c>
      <c r="D634" s="13">
        <v>3</v>
      </c>
      <c r="E634" s="13" t="s">
        <v>247</v>
      </c>
    </row>
    <row r="635" spans="1:5" x14ac:dyDescent="0.25">
      <c r="A635" s="13" t="s">
        <v>235</v>
      </c>
      <c r="B635" s="13" t="s">
        <v>479</v>
      </c>
      <c r="C635" s="13" t="s">
        <v>259</v>
      </c>
      <c r="D635" s="13">
        <v>1</v>
      </c>
      <c r="E635" s="13" t="s">
        <v>279</v>
      </c>
    </row>
    <row r="636" spans="1:5" x14ac:dyDescent="0.25">
      <c r="A636" s="13" t="s">
        <v>235</v>
      </c>
      <c r="B636" s="13" t="s">
        <v>479</v>
      </c>
      <c r="C636" s="13" t="s">
        <v>249</v>
      </c>
      <c r="D636" s="13">
        <v>1</v>
      </c>
      <c r="E636" s="13" t="s">
        <v>279</v>
      </c>
    </row>
    <row r="637" spans="1:5" x14ac:dyDescent="0.25">
      <c r="A637" s="13" t="s">
        <v>235</v>
      </c>
      <c r="B637" s="13" t="s">
        <v>479</v>
      </c>
      <c r="C637" s="13" t="s">
        <v>267</v>
      </c>
      <c r="D637" s="13">
        <v>1</v>
      </c>
      <c r="E637" s="13" t="s">
        <v>247</v>
      </c>
    </row>
    <row r="638" spans="1:5" x14ac:dyDescent="0.25">
      <c r="A638" s="13" t="s">
        <v>120</v>
      </c>
      <c r="B638" s="13" t="s">
        <v>480</v>
      </c>
      <c r="C638" s="13" t="s">
        <v>249</v>
      </c>
      <c r="D638" s="13">
        <v>4</v>
      </c>
      <c r="E638" s="13" t="s">
        <v>264</v>
      </c>
    </row>
    <row r="639" spans="1:5" x14ac:dyDescent="0.25">
      <c r="A639" s="13" t="s">
        <v>120</v>
      </c>
      <c r="B639" s="13" t="s">
        <v>480</v>
      </c>
      <c r="C639" s="13" t="s">
        <v>246</v>
      </c>
      <c r="D639" s="13">
        <v>4</v>
      </c>
      <c r="E639" s="13" t="s">
        <v>247</v>
      </c>
    </row>
    <row r="640" spans="1:5" x14ac:dyDescent="0.25">
      <c r="A640" s="13" t="s">
        <v>120</v>
      </c>
      <c r="B640" s="13" t="s">
        <v>481</v>
      </c>
      <c r="C640" s="13" t="s">
        <v>249</v>
      </c>
      <c r="D640" s="13">
        <v>3</v>
      </c>
      <c r="E640" s="13" t="s">
        <v>177</v>
      </c>
    </row>
    <row r="641" spans="1:5" x14ac:dyDescent="0.25">
      <c r="A641" s="13" t="s">
        <v>120</v>
      </c>
      <c r="B641" s="13" t="s">
        <v>481</v>
      </c>
      <c r="C641" s="13" t="s">
        <v>246</v>
      </c>
      <c r="D641" s="13">
        <v>2</v>
      </c>
      <c r="E641" s="13" t="s">
        <v>247</v>
      </c>
    </row>
    <row r="642" spans="1:5" x14ac:dyDescent="0.25">
      <c r="A642" s="13" t="s">
        <v>120</v>
      </c>
      <c r="B642" s="13" t="s">
        <v>482</v>
      </c>
      <c r="C642" s="13" t="s">
        <v>249</v>
      </c>
      <c r="D642" s="13">
        <v>3</v>
      </c>
      <c r="E642" s="13" t="s">
        <v>247</v>
      </c>
    </row>
    <row r="643" spans="1:5" x14ac:dyDescent="0.25">
      <c r="A643" s="13" t="s">
        <v>120</v>
      </c>
      <c r="B643" s="13" t="s">
        <v>482</v>
      </c>
      <c r="C643" s="13" t="s">
        <v>273</v>
      </c>
      <c r="D643" s="13">
        <v>1</v>
      </c>
      <c r="E643" s="13" t="s">
        <v>177</v>
      </c>
    </row>
    <row r="644" spans="1:5" x14ac:dyDescent="0.25">
      <c r="A644" s="13" t="s">
        <v>121</v>
      </c>
      <c r="B644" s="13" t="s">
        <v>483</v>
      </c>
      <c r="C644" s="13" t="s">
        <v>273</v>
      </c>
      <c r="D644" s="13">
        <v>2</v>
      </c>
      <c r="E644" s="13" t="s">
        <v>247</v>
      </c>
    </row>
    <row r="645" spans="1:5" x14ac:dyDescent="0.25">
      <c r="A645" s="13" t="s">
        <v>121</v>
      </c>
      <c r="B645" s="13" t="s">
        <v>483</v>
      </c>
      <c r="C645" s="13" t="s">
        <v>252</v>
      </c>
      <c r="D645" s="13">
        <v>1</v>
      </c>
      <c r="E645" s="13" t="s">
        <v>264</v>
      </c>
    </row>
    <row r="646" spans="1:5" x14ac:dyDescent="0.25">
      <c r="A646" s="13" t="s">
        <v>121</v>
      </c>
      <c r="B646" s="13" t="s">
        <v>483</v>
      </c>
      <c r="C646" s="13" t="s">
        <v>246</v>
      </c>
      <c r="D646" s="13">
        <v>2</v>
      </c>
      <c r="E646" s="13" t="s">
        <v>247</v>
      </c>
    </row>
    <row r="647" spans="1:5" x14ac:dyDescent="0.25">
      <c r="A647" s="13" t="s">
        <v>121</v>
      </c>
      <c r="B647" s="13" t="s">
        <v>483</v>
      </c>
      <c r="C647" s="13" t="s">
        <v>249</v>
      </c>
      <c r="D647" s="13">
        <v>3</v>
      </c>
      <c r="E647" s="13" t="s">
        <v>247</v>
      </c>
    </row>
    <row r="648" spans="1:5" x14ac:dyDescent="0.25">
      <c r="A648" s="13" t="s">
        <v>121</v>
      </c>
      <c r="B648" s="13" t="s">
        <v>484</v>
      </c>
      <c r="C648" s="13" t="s">
        <v>249</v>
      </c>
      <c r="D648" s="13">
        <v>6</v>
      </c>
      <c r="E648" s="13" t="s">
        <v>247</v>
      </c>
    </row>
    <row r="649" spans="1:5" x14ac:dyDescent="0.25">
      <c r="A649" s="13" t="s">
        <v>121</v>
      </c>
      <c r="B649" s="13" t="s">
        <v>484</v>
      </c>
      <c r="C649" s="13" t="s">
        <v>273</v>
      </c>
      <c r="D649" s="13">
        <v>3</v>
      </c>
      <c r="E649" s="13" t="s">
        <v>247</v>
      </c>
    </row>
    <row r="650" spans="1:5" x14ac:dyDescent="0.25">
      <c r="A650" s="13" t="s">
        <v>121</v>
      </c>
      <c r="B650" s="13" t="s">
        <v>484</v>
      </c>
      <c r="C650" s="13" t="s">
        <v>246</v>
      </c>
      <c r="D650" s="13">
        <v>3</v>
      </c>
      <c r="E650" s="13" t="s">
        <v>177</v>
      </c>
    </row>
    <row r="651" spans="1:5" x14ac:dyDescent="0.25">
      <c r="A651" s="13" t="s">
        <v>121</v>
      </c>
      <c r="B651" s="13" t="s">
        <v>485</v>
      </c>
      <c r="C651" s="13" t="s">
        <v>249</v>
      </c>
      <c r="D651" s="13">
        <v>5</v>
      </c>
      <c r="E651" s="13" t="s">
        <v>247</v>
      </c>
    </row>
    <row r="652" spans="1:5" x14ac:dyDescent="0.25">
      <c r="A652" s="13" t="s">
        <v>121</v>
      </c>
      <c r="B652" s="13" t="s">
        <v>485</v>
      </c>
      <c r="C652" s="13" t="s">
        <v>246</v>
      </c>
      <c r="D652" s="13">
        <v>2</v>
      </c>
      <c r="E652" s="13" t="s">
        <v>247</v>
      </c>
    </row>
    <row r="653" spans="1:5" x14ac:dyDescent="0.25">
      <c r="A653" s="13" t="s">
        <v>233</v>
      </c>
      <c r="B653" s="13" t="s">
        <v>486</v>
      </c>
      <c r="C653" s="13" t="s">
        <v>254</v>
      </c>
      <c r="D653" s="13">
        <v>1</v>
      </c>
      <c r="E653" s="13" t="s">
        <v>247</v>
      </c>
    </row>
    <row r="654" spans="1:5" x14ac:dyDescent="0.25">
      <c r="A654" s="13" t="s">
        <v>233</v>
      </c>
      <c r="B654" s="13" t="s">
        <v>486</v>
      </c>
      <c r="C654" s="13" t="s">
        <v>246</v>
      </c>
      <c r="D654" s="13">
        <v>1</v>
      </c>
      <c r="E654" s="13" t="s">
        <v>247</v>
      </c>
    </row>
    <row r="655" spans="1:5" x14ac:dyDescent="0.25">
      <c r="A655" s="13" t="s">
        <v>233</v>
      </c>
      <c r="B655" s="13" t="s">
        <v>487</v>
      </c>
      <c r="C655" s="13" t="s">
        <v>246</v>
      </c>
      <c r="D655" s="13">
        <v>2</v>
      </c>
      <c r="E655" s="13" t="s">
        <v>247</v>
      </c>
    </row>
    <row r="656" spans="1:5" x14ac:dyDescent="0.25">
      <c r="A656" s="13" t="s">
        <v>233</v>
      </c>
      <c r="B656" s="13" t="s">
        <v>487</v>
      </c>
      <c r="C656" s="13" t="s">
        <v>278</v>
      </c>
      <c r="D656" s="13">
        <v>2</v>
      </c>
      <c r="E656" s="13" t="s">
        <v>264</v>
      </c>
    </row>
    <row r="657" spans="1:5" x14ac:dyDescent="0.25">
      <c r="A657" s="13" t="s">
        <v>233</v>
      </c>
      <c r="B657" s="13" t="s">
        <v>488</v>
      </c>
      <c r="C657" s="13" t="s">
        <v>246</v>
      </c>
      <c r="D657" s="13">
        <v>1</v>
      </c>
      <c r="E657" s="13" t="s">
        <v>247</v>
      </c>
    </row>
    <row r="658" spans="1:5" x14ac:dyDescent="0.25">
      <c r="A658" s="13" t="s">
        <v>233</v>
      </c>
      <c r="B658" s="13" t="s">
        <v>488</v>
      </c>
      <c r="C658" s="13" t="s">
        <v>254</v>
      </c>
      <c r="D658" s="13">
        <v>1</v>
      </c>
      <c r="E658" s="13" t="s">
        <v>247</v>
      </c>
    </row>
    <row r="659" spans="1:5" x14ac:dyDescent="0.25">
      <c r="A659" s="13" t="s">
        <v>233</v>
      </c>
      <c r="B659" s="13" t="s">
        <v>488</v>
      </c>
      <c r="C659" s="13" t="s">
        <v>259</v>
      </c>
      <c r="D659" s="13">
        <v>2</v>
      </c>
      <c r="E659" s="13" t="s">
        <v>247</v>
      </c>
    </row>
    <row r="660" spans="1:5" x14ac:dyDescent="0.25">
      <c r="A660" s="13" t="s">
        <v>233</v>
      </c>
      <c r="B660" s="13" t="s">
        <v>488</v>
      </c>
      <c r="C660" s="13" t="s">
        <v>249</v>
      </c>
      <c r="D660" s="13">
        <v>1</v>
      </c>
      <c r="E660" s="13" t="s">
        <v>247</v>
      </c>
    </row>
    <row r="661" spans="1:5" x14ac:dyDescent="0.25">
      <c r="A661" s="13" t="s">
        <v>229</v>
      </c>
      <c r="B661" s="13" t="s">
        <v>489</v>
      </c>
      <c r="C661" s="13" t="s">
        <v>252</v>
      </c>
      <c r="D661" s="13">
        <v>4</v>
      </c>
      <c r="E661" s="13" t="s">
        <v>247</v>
      </c>
    </row>
    <row r="662" spans="1:5" x14ac:dyDescent="0.25">
      <c r="A662" s="13" t="s">
        <v>229</v>
      </c>
      <c r="B662" s="13" t="s">
        <v>489</v>
      </c>
      <c r="C662" s="13" t="s">
        <v>273</v>
      </c>
      <c r="D662" s="13">
        <v>3</v>
      </c>
      <c r="E662" s="13" t="s">
        <v>247</v>
      </c>
    </row>
    <row r="663" spans="1:5" x14ac:dyDescent="0.25">
      <c r="A663" s="13" t="s">
        <v>229</v>
      </c>
      <c r="B663" s="13" t="s">
        <v>489</v>
      </c>
      <c r="C663" s="13" t="s">
        <v>254</v>
      </c>
      <c r="D663" s="13">
        <v>2</v>
      </c>
      <c r="E663" s="13" t="s">
        <v>247</v>
      </c>
    </row>
    <row r="664" spans="1:5" x14ac:dyDescent="0.25">
      <c r="A664" s="13" t="s">
        <v>229</v>
      </c>
      <c r="B664" s="13" t="s">
        <v>489</v>
      </c>
      <c r="C664" s="13" t="s">
        <v>253</v>
      </c>
      <c r="D664" s="13">
        <v>3</v>
      </c>
      <c r="E664" s="13" t="s">
        <v>247</v>
      </c>
    </row>
    <row r="665" spans="1:5" x14ac:dyDescent="0.25">
      <c r="A665" s="13" t="s">
        <v>229</v>
      </c>
      <c r="B665" s="13" t="s">
        <v>489</v>
      </c>
      <c r="C665" s="13" t="s">
        <v>332</v>
      </c>
      <c r="D665" s="13">
        <v>1</v>
      </c>
      <c r="E665" s="13" t="s">
        <v>247</v>
      </c>
    </row>
    <row r="666" spans="1:5" x14ac:dyDescent="0.25">
      <c r="A666" s="13" t="s">
        <v>229</v>
      </c>
      <c r="B666" s="13" t="s">
        <v>489</v>
      </c>
      <c r="C666" s="13" t="s">
        <v>245</v>
      </c>
      <c r="D666" s="13">
        <v>3</v>
      </c>
      <c r="E666" s="13" t="s">
        <v>177</v>
      </c>
    </row>
    <row r="667" spans="1:5" x14ac:dyDescent="0.25">
      <c r="A667" s="13" t="s">
        <v>229</v>
      </c>
      <c r="B667" s="13" t="s">
        <v>490</v>
      </c>
      <c r="C667" s="13" t="s">
        <v>246</v>
      </c>
      <c r="D667" s="13">
        <v>3</v>
      </c>
      <c r="E667" s="13" t="s">
        <v>247</v>
      </c>
    </row>
    <row r="668" spans="1:5" x14ac:dyDescent="0.25">
      <c r="A668" s="13" t="s">
        <v>229</v>
      </c>
      <c r="B668" s="13" t="s">
        <v>490</v>
      </c>
      <c r="C668" s="13" t="s">
        <v>245</v>
      </c>
      <c r="D668" s="13">
        <v>3</v>
      </c>
      <c r="E668" s="13" t="s">
        <v>247</v>
      </c>
    </row>
    <row r="669" spans="1:5" x14ac:dyDescent="0.25">
      <c r="A669" s="13" t="s">
        <v>229</v>
      </c>
      <c r="B669" s="13" t="s">
        <v>490</v>
      </c>
      <c r="C669" s="13" t="s">
        <v>273</v>
      </c>
      <c r="D669" s="13">
        <v>3</v>
      </c>
      <c r="E669" s="13" t="s">
        <v>177</v>
      </c>
    </row>
    <row r="670" spans="1:5" x14ac:dyDescent="0.25">
      <c r="A670" s="13" t="s">
        <v>229</v>
      </c>
      <c r="B670" s="13" t="s">
        <v>490</v>
      </c>
      <c r="C670" s="13" t="s">
        <v>252</v>
      </c>
      <c r="D670" s="13">
        <v>2</v>
      </c>
      <c r="E670" s="13" t="s">
        <v>264</v>
      </c>
    </row>
    <row r="671" spans="1:5" x14ac:dyDescent="0.25">
      <c r="A671" s="13" t="s">
        <v>229</v>
      </c>
      <c r="B671" s="13" t="s">
        <v>490</v>
      </c>
      <c r="C671" s="13" t="s">
        <v>278</v>
      </c>
      <c r="D671" s="13">
        <v>2</v>
      </c>
      <c r="E671" s="13" t="s">
        <v>264</v>
      </c>
    </row>
    <row r="672" spans="1:5" x14ac:dyDescent="0.25">
      <c r="A672" s="13" t="s">
        <v>229</v>
      </c>
      <c r="B672" s="13" t="s">
        <v>490</v>
      </c>
      <c r="C672" s="13" t="s">
        <v>332</v>
      </c>
      <c r="D672" s="13">
        <v>2</v>
      </c>
      <c r="E672" s="13" t="s">
        <v>247</v>
      </c>
    </row>
    <row r="673" spans="1:5" x14ac:dyDescent="0.25">
      <c r="A673" s="13" t="s">
        <v>229</v>
      </c>
      <c r="B673" s="13" t="s">
        <v>490</v>
      </c>
      <c r="C673" s="13" t="s">
        <v>325</v>
      </c>
      <c r="D673" s="13">
        <v>1</v>
      </c>
      <c r="E673" s="13" t="s">
        <v>279</v>
      </c>
    </row>
    <row r="674" spans="1:5" x14ac:dyDescent="0.25">
      <c r="A674" s="13" t="s">
        <v>229</v>
      </c>
      <c r="B674" s="13" t="s">
        <v>490</v>
      </c>
      <c r="C674" s="13" t="s">
        <v>348</v>
      </c>
      <c r="D674" s="13">
        <v>1</v>
      </c>
      <c r="E674" s="13" t="s">
        <v>247</v>
      </c>
    </row>
    <row r="675" spans="1:5" x14ac:dyDescent="0.25">
      <c r="A675" s="13" t="s">
        <v>229</v>
      </c>
      <c r="B675" s="13" t="s">
        <v>490</v>
      </c>
      <c r="C675" s="13" t="s">
        <v>254</v>
      </c>
      <c r="D675" s="13">
        <v>1</v>
      </c>
      <c r="E675" s="13" t="s">
        <v>247</v>
      </c>
    </row>
    <row r="676" spans="1:5" x14ac:dyDescent="0.25">
      <c r="A676" s="13" t="s">
        <v>229</v>
      </c>
      <c r="B676" s="13" t="s">
        <v>491</v>
      </c>
      <c r="C676" s="13" t="s">
        <v>273</v>
      </c>
      <c r="D676" s="13">
        <v>4</v>
      </c>
      <c r="E676" s="13" t="s">
        <v>177</v>
      </c>
    </row>
    <row r="677" spans="1:5" x14ac:dyDescent="0.25">
      <c r="A677" s="13" t="s">
        <v>229</v>
      </c>
      <c r="B677" s="13" t="s">
        <v>491</v>
      </c>
      <c r="C677" s="13" t="s">
        <v>280</v>
      </c>
      <c r="D677" s="13">
        <v>1</v>
      </c>
      <c r="E677" s="13" t="s">
        <v>247</v>
      </c>
    </row>
    <row r="678" spans="1:5" x14ac:dyDescent="0.25">
      <c r="A678" s="13" t="s">
        <v>229</v>
      </c>
      <c r="B678" s="13" t="s">
        <v>491</v>
      </c>
      <c r="C678" s="13" t="s">
        <v>253</v>
      </c>
      <c r="D678" s="13">
        <v>3</v>
      </c>
      <c r="E678" s="13" t="s">
        <v>247</v>
      </c>
    </row>
    <row r="679" spans="1:5" x14ac:dyDescent="0.25">
      <c r="A679" s="13" t="s">
        <v>229</v>
      </c>
      <c r="B679" s="13" t="s">
        <v>491</v>
      </c>
      <c r="C679" s="13" t="s">
        <v>245</v>
      </c>
      <c r="D679" s="13">
        <v>2</v>
      </c>
      <c r="E679" s="13" t="s">
        <v>247</v>
      </c>
    </row>
    <row r="680" spans="1:5" x14ac:dyDescent="0.25">
      <c r="A680" s="13" t="s">
        <v>229</v>
      </c>
      <c r="B680" s="13" t="s">
        <v>491</v>
      </c>
      <c r="C680" s="13" t="s">
        <v>332</v>
      </c>
      <c r="D680" s="13">
        <v>1</v>
      </c>
      <c r="E680" s="13" t="s">
        <v>247</v>
      </c>
    </row>
    <row r="681" spans="1:5" x14ac:dyDescent="0.25">
      <c r="A681" s="13" t="s">
        <v>229</v>
      </c>
      <c r="B681" s="13" t="s">
        <v>491</v>
      </c>
      <c r="C681" s="13" t="s">
        <v>252</v>
      </c>
      <c r="D681" s="13">
        <v>2</v>
      </c>
      <c r="E681" s="13" t="s">
        <v>177</v>
      </c>
    </row>
    <row r="682" spans="1:5" x14ac:dyDescent="0.25">
      <c r="A682" s="13" t="s">
        <v>229</v>
      </c>
      <c r="B682" s="13" t="s">
        <v>491</v>
      </c>
      <c r="C682" s="13" t="s">
        <v>348</v>
      </c>
      <c r="D682" s="13">
        <v>1</v>
      </c>
      <c r="E682" s="13" t="s">
        <v>271</v>
      </c>
    </row>
    <row r="683" spans="1:5" x14ac:dyDescent="0.25">
      <c r="A683" s="13" t="s">
        <v>229</v>
      </c>
      <c r="B683" s="13" t="s">
        <v>491</v>
      </c>
      <c r="C683" s="13" t="s">
        <v>254</v>
      </c>
      <c r="D683" s="13">
        <v>1</v>
      </c>
      <c r="E683" s="13" t="s">
        <v>247</v>
      </c>
    </row>
    <row r="684" spans="1:5" x14ac:dyDescent="0.25">
      <c r="A684" s="13" t="s">
        <v>229</v>
      </c>
      <c r="B684" s="13" t="s">
        <v>491</v>
      </c>
      <c r="C684" s="13" t="s">
        <v>325</v>
      </c>
      <c r="D684" s="13">
        <v>1</v>
      </c>
      <c r="E684" s="13" t="s">
        <v>279</v>
      </c>
    </row>
    <row r="685" spans="1:5" x14ac:dyDescent="0.25">
      <c r="A685" s="13" t="s">
        <v>230</v>
      </c>
      <c r="B685" s="13" t="s">
        <v>492</v>
      </c>
      <c r="C685" s="13" t="s">
        <v>252</v>
      </c>
      <c r="D685" s="13">
        <v>6</v>
      </c>
      <c r="E685" s="13" t="s">
        <v>177</v>
      </c>
    </row>
    <row r="686" spans="1:5" x14ac:dyDescent="0.25">
      <c r="A686" s="13" t="s">
        <v>230</v>
      </c>
      <c r="B686" s="13" t="s">
        <v>492</v>
      </c>
      <c r="C686" s="13" t="s">
        <v>332</v>
      </c>
      <c r="D686" s="13">
        <v>3</v>
      </c>
      <c r="E686" s="13" t="s">
        <v>247</v>
      </c>
    </row>
    <row r="687" spans="1:5" x14ac:dyDescent="0.25">
      <c r="A687" s="13" t="s">
        <v>230</v>
      </c>
      <c r="B687" s="13" t="s">
        <v>492</v>
      </c>
      <c r="C687" s="13" t="s">
        <v>245</v>
      </c>
      <c r="D687" s="13">
        <v>3</v>
      </c>
      <c r="E687" s="13" t="s">
        <v>247</v>
      </c>
    </row>
    <row r="688" spans="1:5" x14ac:dyDescent="0.25">
      <c r="A688" s="13" t="s">
        <v>230</v>
      </c>
      <c r="B688" s="13" t="s">
        <v>492</v>
      </c>
      <c r="C688" s="13" t="s">
        <v>280</v>
      </c>
      <c r="D688" s="13">
        <v>2</v>
      </c>
      <c r="E688" s="13" t="s">
        <v>247</v>
      </c>
    </row>
    <row r="689" spans="1:5" x14ac:dyDescent="0.25">
      <c r="A689" s="13" t="s">
        <v>230</v>
      </c>
      <c r="B689" s="13" t="s">
        <v>493</v>
      </c>
      <c r="C689" s="13" t="s">
        <v>246</v>
      </c>
      <c r="D689" s="13">
        <v>2</v>
      </c>
      <c r="E689" s="13" t="s">
        <v>247</v>
      </c>
    </row>
    <row r="690" spans="1:5" x14ac:dyDescent="0.25">
      <c r="A690" s="13" t="s">
        <v>230</v>
      </c>
      <c r="B690" s="13" t="s">
        <v>493</v>
      </c>
      <c r="C690" s="13" t="s">
        <v>245</v>
      </c>
      <c r="D690" s="13">
        <v>2</v>
      </c>
      <c r="E690" s="13" t="s">
        <v>247</v>
      </c>
    </row>
    <row r="691" spans="1:5" x14ac:dyDescent="0.25">
      <c r="A691" s="13" t="s">
        <v>230</v>
      </c>
      <c r="B691" s="13" t="s">
        <v>493</v>
      </c>
      <c r="C691" s="13" t="s">
        <v>252</v>
      </c>
      <c r="D691" s="13">
        <v>4</v>
      </c>
      <c r="E691" s="13" t="s">
        <v>264</v>
      </c>
    </row>
    <row r="692" spans="1:5" x14ac:dyDescent="0.25">
      <c r="A692" s="13" t="s">
        <v>230</v>
      </c>
      <c r="B692" s="13" t="s">
        <v>493</v>
      </c>
      <c r="C692" s="13" t="s">
        <v>332</v>
      </c>
      <c r="D692" s="13">
        <v>3</v>
      </c>
      <c r="E692" s="13" t="s">
        <v>247</v>
      </c>
    </row>
    <row r="693" spans="1:5" x14ac:dyDescent="0.25">
      <c r="A693" s="13" t="s">
        <v>230</v>
      </c>
      <c r="B693" s="13" t="s">
        <v>494</v>
      </c>
      <c r="C693" s="13" t="s">
        <v>332</v>
      </c>
      <c r="D693" s="13">
        <v>4</v>
      </c>
      <c r="E693" s="13" t="s">
        <v>177</v>
      </c>
    </row>
    <row r="694" spans="1:5" x14ac:dyDescent="0.25">
      <c r="A694" s="13" t="s">
        <v>230</v>
      </c>
      <c r="B694" s="13" t="s">
        <v>494</v>
      </c>
      <c r="C694" s="13" t="s">
        <v>252</v>
      </c>
      <c r="D694" s="13">
        <v>3</v>
      </c>
      <c r="E694" s="13" t="s">
        <v>177</v>
      </c>
    </row>
    <row r="695" spans="1:5" x14ac:dyDescent="0.25">
      <c r="A695" s="13" t="s">
        <v>230</v>
      </c>
      <c r="B695" s="13" t="s">
        <v>494</v>
      </c>
      <c r="C695" s="13" t="s">
        <v>245</v>
      </c>
      <c r="D695" s="13">
        <v>2</v>
      </c>
      <c r="E695" s="13" t="s">
        <v>247</v>
      </c>
    </row>
    <row r="696" spans="1:5" x14ac:dyDescent="0.25">
      <c r="A696" s="13" t="s">
        <v>230</v>
      </c>
      <c r="B696" s="13" t="s">
        <v>494</v>
      </c>
      <c r="C696" s="13" t="s">
        <v>246</v>
      </c>
      <c r="D696" s="13">
        <v>2</v>
      </c>
      <c r="E696" s="13" t="s">
        <v>247</v>
      </c>
    </row>
    <row r="697" spans="1:5" x14ac:dyDescent="0.25">
      <c r="A697" s="13" t="s">
        <v>228</v>
      </c>
      <c r="B697" s="13" t="s">
        <v>495</v>
      </c>
      <c r="C697" s="13" t="s">
        <v>280</v>
      </c>
      <c r="D697" s="13">
        <v>2</v>
      </c>
      <c r="E697" s="13" t="s">
        <v>264</v>
      </c>
    </row>
    <row r="698" spans="1:5" x14ac:dyDescent="0.25">
      <c r="A698" s="13" t="s">
        <v>228</v>
      </c>
      <c r="B698" s="13" t="s">
        <v>495</v>
      </c>
      <c r="C698" s="13" t="s">
        <v>322</v>
      </c>
      <c r="D698" s="13">
        <v>2</v>
      </c>
      <c r="E698" s="13" t="s">
        <v>264</v>
      </c>
    </row>
    <row r="699" spans="1:5" x14ac:dyDescent="0.25">
      <c r="A699" s="13" t="s">
        <v>228</v>
      </c>
      <c r="B699" s="13" t="s">
        <v>495</v>
      </c>
      <c r="C699" s="13" t="s">
        <v>245</v>
      </c>
      <c r="D699" s="13">
        <v>2</v>
      </c>
      <c r="E699" s="13" t="s">
        <v>264</v>
      </c>
    </row>
    <row r="700" spans="1:5" x14ac:dyDescent="0.25">
      <c r="A700" s="13" t="s">
        <v>228</v>
      </c>
      <c r="B700" s="13" t="s">
        <v>495</v>
      </c>
      <c r="C700" s="13" t="s">
        <v>348</v>
      </c>
      <c r="D700" s="13">
        <v>1</v>
      </c>
      <c r="E700" s="13" t="s">
        <v>271</v>
      </c>
    </row>
    <row r="701" spans="1:5" x14ac:dyDescent="0.25">
      <c r="A701" s="13" t="s">
        <v>228</v>
      </c>
      <c r="B701" s="13" t="s">
        <v>495</v>
      </c>
      <c r="C701" s="13" t="s">
        <v>252</v>
      </c>
      <c r="D701" s="13">
        <v>2</v>
      </c>
      <c r="E701" s="13" t="s">
        <v>264</v>
      </c>
    </row>
    <row r="702" spans="1:5" x14ac:dyDescent="0.25">
      <c r="A702" s="13" t="s">
        <v>228</v>
      </c>
      <c r="B702" s="13" t="s">
        <v>496</v>
      </c>
      <c r="C702" s="13" t="s">
        <v>249</v>
      </c>
      <c r="D702" s="13">
        <v>3</v>
      </c>
      <c r="E702" s="13" t="s">
        <v>264</v>
      </c>
    </row>
    <row r="703" spans="1:5" x14ac:dyDescent="0.25">
      <c r="A703" s="13" t="s">
        <v>228</v>
      </c>
      <c r="B703" s="13" t="s">
        <v>496</v>
      </c>
      <c r="C703" s="13" t="s">
        <v>332</v>
      </c>
      <c r="D703" s="13">
        <v>3</v>
      </c>
      <c r="E703" s="13" t="s">
        <v>247</v>
      </c>
    </row>
    <row r="704" spans="1:5" x14ac:dyDescent="0.25">
      <c r="A704" s="13" t="s">
        <v>228</v>
      </c>
      <c r="B704" s="13" t="s">
        <v>496</v>
      </c>
      <c r="C704" s="13" t="s">
        <v>252</v>
      </c>
      <c r="D704" s="13">
        <v>2</v>
      </c>
      <c r="E704" s="13" t="s">
        <v>264</v>
      </c>
    </row>
    <row r="705" spans="1:5" x14ac:dyDescent="0.25">
      <c r="A705" s="13" t="s">
        <v>228</v>
      </c>
      <c r="B705" s="13" t="s">
        <v>496</v>
      </c>
      <c r="C705" s="13" t="s">
        <v>325</v>
      </c>
      <c r="D705" s="13">
        <v>1</v>
      </c>
      <c r="E705" s="13" t="s">
        <v>271</v>
      </c>
    </row>
    <row r="706" spans="1:5" x14ac:dyDescent="0.25">
      <c r="A706" s="13" t="s">
        <v>228</v>
      </c>
      <c r="B706" s="13" t="s">
        <v>496</v>
      </c>
      <c r="C706" s="13" t="s">
        <v>245</v>
      </c>
      <c r="D706" s="13">
        <v>2</v>
      </c>
      <c r="E706" s="13" t="s">
        <v>264</v>
      </c>
    </row>
    <row r="707" spans="1:5" x14ac:dyDescent="0.25">
      <c r="A707" s="13" t="s">
        <v>228</v>
      </c>
      <c r="B707" s="13" t="s">
        <v>497</v>
      </c>
      <c r="C707" s="13" t="s">
        <v>252</v>
      </c>
      <c r="D707" s="13">
        <v>2</v>
      </c>
      <c r="E707" s="13" t="s">
        <v>264</v>
      </c>
    </row>
    <row r="708" spans="1:5" x14ac:dyDescent="0.25">
      <c r="A708" s="13" t="s">
        <v>228</v>
      </c>
      <c r="B708" s="13" t="s">
        <v>497</v>
      </c>
      <c r="C708" s="13" t="s">
        <v>249</v>
      </c>
      <c r="D708" s="13">
        <v>2</v>
      </c>
      <c r="E708" s="13" t="s">
        <v>177</v>
      </c>
    </row>
    <row r="709" spans="1:5" x14ac:dyDescent="0.25">
      <c r="A709" s="13" t="s">
        <v>228</v>
      </c>
      <c r="B709" s="13" t="s">
        <v>497</v>
      </c>
      <c r="C709" s="13" t="s">
        <v>254</v>
      </c>
      <c r="D709" s="13">
        <v>3</v>
      </c>
      <c r="E709" s="13" t="s">
        <v>247</v>
      </c>
    </row>
    <row r="710" spans="1:5" x14ac:dyDescent="0.25">
      <c r="A710" s="13" t="s">
        <v>228</v>
      </c>
      <c r="B710" s="13" t="s">
        <v>497</v>
      </c>
      <c r="C710" s="13" t="s">
        <v>245</v>
      </c>
      <c r="D710" s="13">
        <v>2</v>
      </c>
      <c r="E710" s="13" t="s">
        <v>177</v>
      </c>
    </row>
    <row r="711" spans="1:5" x14ac:dyDescent="0.25">
      <c r="A711" s="13" t="s">
        <v>222</v>
      </c>
      <c r="B711" s="13" t="s">
        <v>498</v>
      </c>
      <c r="C711" s="13" t="s">
        <v>246</v>
      </c>
      <c r="D711" s="13">
        <v>2</v>
      </c>
      <c r="E711" s="13" t="s">
        <v>264</v>
      </c>
    </row>
    <row r="712" spans="1:5" x14ac:dyDescent="0.25">
      <c r="A712" s="13" t="s">
        <v>222</v>
      </c>
      <c r="B712" s="13" t="s">
        <v>499</v>
      </c>
      <c r="C712" s="13" t="s">
        <v>246</v>
      </c>
      <c r="D712" s="13">
        <v>1</v>
      </c>
      <c r="E712" s="13" t="s">
        <v>177</v>
      </c>
    </row>
    <row r="713" spans="1:5" x14ac:dyDescent="0.25">
      <c r="A713" s="13" t="s">
        <v>222</v>
      </c>
      <c r="B713" s="13" t="s">
        <v>500</v>
      </c>
      <c r="C713" s="13" t="s">
        <v>246</v>
      </c>
      <c r="D713" s="13">
        <v>2</v>
      </c>
      <c r="E713" s="13" t="s">
        <v>264</v>
      </c>
    </row>
    <row r="714" spans="1:5" x14ac:dyDescent="0.25">
      <c r="A714" s="13" t="s">
        <v>220</v>
      </c>
      <c r="B714" s="13" t="s">
        <v>501</v>
      </c>
      <c r="C714" s="13" t="s">
        <v>246</v>
      </c>
      <c r="D714" s="13">
        <v>3</v>
      </c>
      <c r="E714" s="13" t="s">
        <v>177</v>
      </c>
    </row>
    <row r="715" spans="1:5" x14ac:dyDescent="0.25">
      <c r="A715" s="13" t="s">
        <v>220</v>
      </c>
      <c r="B715" s="13" t="s">
        <v>501</v>
      </c>
      <c r="C715" s="13" t="s">
        <v>259</v>
      </c>
      <c r="D715" s="13">
        <v>1</v>
      </c>
      <c r="E715" s="13" t="s">
        <v>279</v>
      </c>
    </row>
    <row r="716" spans="1:5" x14ac:dyDescent="0.25">
      <c r="A716" s="13" t="s">
        <v>220</v>
      </c>
      <c r="B716" s="13" t="s">
        <v>502</v>
      </c>
      <c r="C716" s="13" t="s">
        <v>246</v>
      </c>
      <c r="D716" s="13">
        <v>3</v>
      </c>
      <c r="E716" s="13" t="s">
        <v>177</v>
      </c>
    </row>
    <row r="717" spans="1:5" x14ac:dyDescent="0.25">
      <c r="A717" s="13" t="s">
        <v>220</v>
      </c>
      <c r="B717" s="13" t="s">
        <v>502</v>
      </c>
      <c r="C717" s="13" t="s">
        <v>259</v>
      </c>
      <c r="D717" s="13">
        <v>1</v>
      </c>
      <c r="E717" s="13" t="s">
        <v>279</v>
      </c>
    </row>
    <row r="718" spans="1:5" x14ac:dyDescent="0.25">
      <c r="A718" s="13" t="s">
        <v>220</v>
      </c>
      <c r="B718" s="13" t="s">
        <v>503</v>
      </c>
      <c r="C718" s="13" t="s">
        <v>246</v>
      </c>
      <c r="D718" s="13">
        <v>4</v>
      </c>
      <c r="E718" s="13" t="s">
        <v>177</v>
      </c>
    </row>
    <row r="719" spans="1:5" x14ac:dyDescent="0.25">
      <c r="A719" s="13" t="s">
        <v>231</v>
      </c>
      <c r="B719" s="13" t="s">
        <v>504</v>
      </c>
      <c r="C719" s="13" t="s">
        <v>246</v>
      </c>
      <c r="D719" s="13">
        <v>5</v>
      </c>
      <c r="E719" s="13" t="s">
        <v>247</v>
      </c>
    </row>
    <row r="720" spans="1:5" x14ac:dyDescent="0.25">
      <c r="A720" s="13" t="s">
        <v>231</v>
      </c>
      <c r="B720" s="13" t="s">
        <v>504</v>
      </c>
      <c r="C720" s="13" t="s">
        <v>249</v>
      </c>
      <c r="D720" s="13">
        <v>4</v>
      </c>
      <c r="E720" s="13" t="s">
        <v>177</v>
      </c>
    </row>
    <row r="721" spans="1:5" x14ac:dyDescent="0.25">
      <c r="A721" s="13" t="s">
        <v>231</v>
      </c>
      <c r="B721" s="13" t="s">
        <v>504</v>
      </c>
      <c r="C721" s="13" t="s">
        <v>252</v>
      </c>
      <c r="D721" s="13">
        <v>3</v>
      </c>
      <c r="E721" s="13" t="s">
        <v>264</v>
      </c>
    </row>
    <row r="722" spans="1:5" x14ac:dyDescent="0.25">
      <c r="A722" s="13" t="s">
        <v>231</v>
      </c>
      <c r="B722" s="13" t="s">
        <v>504</v>
      </c>
      <c r="C722" s="13" t="s">
        <v>245</v>
      </c>
      <c r="D722" s="13">
        <v>2</v>
      </c>
      <c r="E722" s="13" t="s">
        <v>177</v>
      </c>
    </row>
    <row r="723" spans="1:5" x14ac:dyDescent="0.25">
      <c r="A723" s="13" t="s">
        <v>231</v>
      </c>
      <c r="B723" s="13" t="s">
        <v>504</v>
      </c>
      <c r="C723" s="13" t="s">
        <v>505</v>
      </c>
      <c r="D723" s="13">
        <v>2</v>
      </c>
      <c r="E723" s="13" t="s">
        <v>264</v>
      </c>
    </row>
    <row r="724" spans="1:5" x14ac:dyDescent="0.25">
      <c r="A724" s="13" t="s">
        <v>231</v>
      </c>
      <c r="B724" s="13" t="s">
        <v>506</v>
      </c>
      <c r="C724" s="13" t="s">
        <v>246</v>
      </c>
      <c r="D724" s="13">
        <v>3</v>
      </c>
      <c r="E724" s="13" t="s">
        <v>247</v>
      </c>
    </row>
    <row r="725" spans="1:5" x14ac:dyDescent="0.25">
      <c r="A725" s="13" t="s">
        <v>231</v>
      </c>
      <c r="B725" s="13" t="s">
        <v>506</v>
      </c>
      <c r="C725" s="13" t="s">
        <v>245</v>
      </c>
      <c r="D725" s="13">
        <v>2</v>
      </c>
      <c r="E725" s="13" t="s">
        <v>247</v>
      </c>
    </row>
    <row r="726" spans="1:5" x14ac:dyDescent="0.25">
      <c r="A726" s="13" t="s">
        <v>231</v>
      </c>
      <c r="B726" s="13" t="s">
        <v>506</v>
      </c>
      <c r="C726" s="13" t="s">
        <v>507</v>
      </c>
      <c r="D726" s="13">
        <v>2</v>
      </c>
      <c r="E726" s="13" t="s">
        <v>247</v>
      </c>
    </row>
    <row r="727" spans="1:5" x14ac:dyDescent="0.25">
      <c r="A727" s="13" t="s">
        <v>231</v>
      </c>
      <c r="B727" s="13" t="s">
        <v>506</v>
      </c>
      <c r="C727" s="13" t="s">
        <v>319</v>
      </c>
      <c r="D727" s="13">
        <v>2</v>
      </c>
      <c r="E727" s="13" t="s">
        <v>247</v>
      </c>
    </row>
    <row r="728" spans="1:5" x14ac:dyDescent="0.25">
      <c r="A728" s="13" t="s">
        <v>231</v>
      </c>
      <c r="B728" s="13" t="s">
        <v>506</v>
      </c>
      <c r="C728" s="13" t="s">
        <v>252</v>
      </c>
      <c r="D728" s="13">
        <v>3</v>
      </c>
      <c r="E728" s="13" t="s">
        <v>177</v>
      </c>
    </row>
    <row r="729" spans="1:5" x14ac:dyDescent="0.25">
      <c r="A729" s="13" t="s">
        <v>231</v>
      </c>
      <c r="B729" s="13" t="s">
        <v>508</v>
      </c>
      <c r="C729" s="13" t="s">
        <v>246</v>
      </c>
      <c r="D729" s="13">
        <v>3</v>
      </c>
      <c r="E729" s="13" t="s">
        <v>247</v>
      </c>
    </row>
    <row r="730" spans="1:5" x14ac:dyDescent="0.25">
      <c r="A730" s="13" t="s">
        <v>231</v>
      </c>
      <c r="B730" s="13" t="s">
        <v>508</v>
      </c>
      <c r="C730" s="13" t="s">
        <v>245</v>
      </c>
      <c r="D730" s="13">
        <v>2</v>
      </c>
      <c r="E730" s="13" t="s">
        <v>247</v>
      </c>
    </row>
    <row r="731" spans="1:5" x14ac:dyDescent="0.25">
      <c r="A731" s="13" t="s">
        <v>231</v>
      </c>
      <c r="B731" s="13" t="s">
        <v>508</v>
      </c>
      <c r="C731" s="13" t="s">
        <v>252</v>
      </c>
      <c r="D731" s="13">
        <v>2</v>
      </c>
      <c r="E731" s="13" t="s">
        <v>264</v>
      </c>
    </row>
    <row r="732" spans="1:5" x14ac:dyDescent="0.25">
      <c r="A732" s="13" t="s">
        <v>231</v>
      </c>
      <c r="B732" s="13" t="s">
        <v>508</v>
      </c>
      <c r="C732" s="13" t="s">
        <v>319</v>
      </c>
      <c r="D732" s="13">
        <v>1</v>
      </c>
      <c r="E732" s="13" t="s">
        <v>247</v>
      </c>
    </row>
    <row r="733" spans="1:5" x14ac:dyDescent="0.25">
      <c r="A733" s="13" t="s">
        <v>192</v>
      </c>
      <c r="B733" s="13" t="s">
        <v>509</v>
      </c>
      <c r="C733" s="13" t="s">
        <v>252</v>
      </c>
      <c r="D733" s="13">
        <v>5</v>
      </c>
      <c r="E733" s="13" t="s">
        <v>177</v>
      </c>
    </row>
    <row r="734" spans="1:5" x14ac:dyDescent="0.25">
      <c r="A734" s="13" t="s">
        <v>192</v>
      </c>
      <c r="B734" s="13" t="s">
        <v>509</v>
      </c>
      <c r="C734" s="13" t="s">
        <v>249</v>
      </c>
      <c r="D734" s="13">
        <v>3</v>
      </c>
      <c r="E734" s="13" t="s">
        <v>177</v>
      </c>
    </row>
    <row r="735" spans="1:5" x14ac:dyDescent="0.25">
      <c r="A735" s="13" t="s">
        <v>192</v>
      </c>
      <c r="B735" s="13" t="s">
        <v>509</v>
      </c>
      <c r="C735" s="13" t="s">
        <v>259</v>
      </c>
      <c r="D735" s="13">
        <v>2</v>
      </c>
      <c r="E735" s="13" t="s">
        <v>177</v>
      </c>
    </row>
    <row r="736" spans="1:5" x14ac:dyDescent="0.25">
      <c r="A736" s="13" t="s">
        <v>192</v>
      </c>
      <c r="B736" s="13" t="s">
        <v>510</v>
      </c>
      <c r="C736" s="13" t="s">
        <v>252</v>
      </c>
      <c r="D736" s="13">
        <v>6</v>
      </c>
      <c r="E736" s="13" t="s">
        <v>247</v>
      </c>
    </row>
    <row r="737" spans="1:5" x14ac:dyDescent="0.25">
      <c r="A737" s="13" t="s">
        <v>192</v>
      </c>
      <c r="B737" s="13" t="s">
        <v>510</v>
      </c>
      <c r="C737" s="13" t="s">
        <v>249</v>
      </c>
      <c r="D737" s="13">
        <v>4</v>
      </c>
      <c r="E737" s="13" t="s">
        <v>177</v>
      </c>
    </row>
    <row r="738" spans="1:5" x14ac:dyDescent="0.25">
      <c r="A738" s="13" t="s">
        <v>192</v>
      </c>
      <c r="B738" s="13" t="s">
        <v>510</v>
      </c>
      <c r="C738" s="13" t="s">
        <v>259</v>
      </c>
      <c r="D738" s="13">
        <v>1</v>
      </c>
      <c r="E738" s="13" t="s">
        <v>247</v>
      </c>
    </row>
    <row r="739" spans="1:5" x14ac:dyDescent="0.25">
      <c r="A739" s="13" t="s">
        <v>192</v>
      </c>
      <c r="B739" s="13" t="s">
        <v>510</v>
      </c>
      <c r="C739" s="13" t="s">
        <v>332</v>
      </c>
      <c r="D739" s="13">
        <v>2</v>
      </c>
      <c r="E739" s="13" t="s">
        <v>177</v>
      </c>
    </row>
    <row r="740" spans="1:5" x14ac:dyDescent="0.25">
      <c r="A740" s="13" t="s">
        <v>192</v>
      </c>
      <c r="B740" s="13" t="s">
        <v>510</v>
      </c>
      <c r="C740" s="13" t="s">
        <v>325</v>
      </c>
      <c r="D740" s="13">
        <v>2</v>
      </c>
      <c r="E740" s="13" t="s">
        <v>271</v>
      </c>
    </row>
    <row r="741" spans="1:5" x14ac:dyDescent="0.25">
      <c r="A741" s="13" t="s">
        <v>192</v>
      </c>
      <c r="B741" s="13" t="s">
        <v>510</v>
      </c>
      <c r="C741" s="13" t="s">
        <v>334</v>
      </c>
      <c r="D741" s="13">
        <v>2</v>
      </c>
      <c r="E741" s="13" t="s">
        <v>247</v>
      </c>
    </row>
    <row r="742" spans="1:5" x14ac:dyDescent="0.25">
      <c r="A742" s="13" t="s">
        <v>192</v>
      </c>
      <c r="B742" s="13" t="s">
        <v>511</v>
      </c>
      <c r="C742" s="13" t="s">
        <v>252</v>
      </c>
      <c r="D742" s="13">
        <v>6</v>
      </c>
      <c r="E742" s="13" t="s">
        <v>177</v>
      </c>
    </row>
    <row r="743" spans="1:5" x14ac:dyDescent="0.25">
      <c r="A743" s="13" t="s">
        <v>192</v>
      </c>
      <c r="B743" s="13" t="s">
        <v>511</v>
      </c>
      <c r="C743" s="13" t="s">
        <v>249</v>
      </c>
      <c r="D743" s="13">
        <v>3</v>
      </c>
      <c r="E743" s="13" t="s">
        <v>264</v>
      </c>
    </row>
    <row r="744" spans="1:5" x14ac:dyDescent="0.25">
      <c r="A744" s="13" t="s">
        <v>193</v>
      </c>
      <c r="B744" s="13" t="s">
        <v>512</v>
      </c>
      <c r="C744" s="13" t="s">
        <v>325</v>
      </c>
      <c r="D744" s="13">
        <v>1</v>
      </c>
      <c r="E744" s="13" t="s">
        <v>247</v>
      </c>
    </row>
    <row r="745" spans="1:5" x14ac:dyDescent="0.25">
      <c r="A745" s="13" t="s">
        <v>193</v>
      </c>
      <c r="B745" s="13" t="s">
        <v>512</v>
      </c>
      <c r="C745" s="13" t="s">
        <v>246</v>
      </c>
      <c r="D745" s="13">
        <v>5</v>
      </c>
      <c r="E745" s="13" t="s">
        <v>247</v>
      </c>
    </row>
    <row r="746" spans="1:5" x14ac:dyDescent="0.25">
      <c r="A746" s="13" t="s">
        <v>193</v>
      </c>
      <c r="B746" s="13" t="s">
        <v>512</v>
      </c>
      <c r="C746" s="13" t="s">
        <v>245</v>
      </c>
      <c r="D746" s="13">
        <v>4</v>
      </c>
      <c r="E746" s="13" t="s">
        <v>247</v>
      </c>
    </row>
    <row r="747" spans="1:5" x14ac:dyDescent="0.25">
      <c r="A747" s="13" t="s">
        <v>193</v>
      </c>
      <c r="B747" s="13" t="s">
        <v>512</v>
      </c>
      <c r="C747" s="13" t="s">
        <v>254</v>
      </c>
      <c r="D747" s="13">
        <v>2</v>
      </c>
      <c r="E747" s="13" t="s">
        <v>247</v>
      </c>
    </row>
    <row r="748" spans="1:5" x14ac:dyDescent="0.25">
      <c r="A748" s="13" t="s">
        <v>193</v>
      </c>
      <c r="B748" s="13" t="s">
        <v>512</v>
      </c>
      <c r="C748" s="13" t="s">
        <v>259</v>
      </c>
      <c r="D748" s="13">
        <v>2</v>
      </c>
      <c r="E748" s="13" t="s">
        <v>247</v>
      </c>
    </row>
    <row r="749" spans="1:5" x14ac:dyDescent="0.25">
      <c r="A749" s="13" t="s">
        <v>193</v>
      </c>
      <c r="B749" s="13" t="s">
        <v>512</v>
      </c>
      <c r="C749" s="13" t="s">
        <v>249</v>
      </c>
      <c r="D749" s="13">
        <v>3</v>
      </c>
      <c r="E749" s="13" t="s">
        <v>247</v>
      </c>
    </row>
    <row r="750" spans="1:5" x14ac:dyDescent="0.25">
      <c r="A750" s="13" t="s">
        <v>193</v>
      </c>
      <c r="B750" s="13" t="s">
        <v>513</v>
      </c>
      <c r="C750" s="13" t="s">
        <v>252</v>
      </c>
      <c r="D750" s="13">
        <v>5</v>
      </c>
      <c r="E750" s="13" t="s">
        <v>247</v>
      </c>
    </row>
    <row r="751" spans="1:5" x14ac:dyDescent="0.25">
      <c r="A751" s="13" t="s">
        <v>193</v>
      </c>
      <c r="B751" s="13" t="s">
        <v>513</v>
      </c>
      <c r="C751" s="13" t="s">
        <v>246</v>
      </c>
      <c r="D751" s="13">
        <v>3</v>
      </c>
      <c r="E751" s="13" t="s">
        <v>247</v>
      </c>
    </row>
    <row r="752" spans="1:5" x14ac:dyDescent="0.25">
      <c r="A752" s="13" t="s">
        <v>193</v>
      </c>
      <c r="B752" s="13" t="s">
        <v>513</v>
      </c>
      <c r="C752" s="13" t="s">
        <v>245</v>
      </c>
      <c r="D752" s="13">
        <v>2</v>
      </c>
      <c r="E752" s="13" t="s">
        <v>247</v>
      </c>
    </row>
    <row r="753" spans="1:5" x14ac:dyDescent="0.25">
      <c r="A753" s="13" t="s">
        <v>193</v>
      </c>
      <c r="B753" s="13" t="s">
        <v>514</v>
      </c>
      <c r="C753" s="13" t="s">
        <v>246</v>
      </c>
      <c r="D753" s="13">
        <v>2</v>
      </c>
      <c r="E753" s="13" t="s">
        <v>247</v>
      </c>
    </row>
    <row r="754" spans="1:5" x14ac:dyDescent="0.25">
      <c r="A754" s="13" t="s">
        <v>193</v>
      </c>
      <c r="B754" s="13" t="s">
        <v>514</v>
      </c>
      <c r="C754" s="13" t="s">
        <v>273</v>
      </c>
      <c r="D754" s="13">
        <v>2</v>
      </c>
      <c r="E754" s="13" t="s">
        <v>247</v>
      </c>
    </row>
    <row r="755" spans="1:5" x14ac:dyDescent="0.25">
      <c r="A755" s="13" t="s">
        <v>193</v>
      </c>
      <c r="B755" s="13" t="s">
        <v>514</v>
      </c>
      <c r="C755" s="13" t="s">
        <v>252</v>
      </c>
      <c r="D755" s="13">
        <v>5</v>
      </c>
      <c r="E755" s="13" t="s">
        <v>247</v>
      </c>
    </row>
    <row r="756" spans="1:5" x14ac:dyDescent="0.25">
      <c r="A756" s="13" t="s">
        <v>193</v>
      </c>
      <c r="B756" s="13" t="s">
        <v>514</v>
      </c>
      <c r="C756" s="13" t="s">
        <v>245</v>
      </c>
      <c r="D756" s="13">
        <v>3</v>
      </c>
      <c r="E756" s="13" t="s">
        <v>177</v>
      </c>
    </row>
    <row r="757" spans="1:5" x14ac:dyDescent="0.25">
      <c r="A757" s="13" t="s">
        <v>193</v>
      </c>
      <c r="B757" s="13" t="s">
        <v>514</v>
      </c>
      <c r="C757" s="13" t="s">
        <v>249</v>
      </c>
      <c r="D757" s="13">
        <v>3</v>
      </c>
      <c r="E757" s="13" t="s">
        <v>247</v>
      </c>
    </row>
    <row r="758" spans="1:5" x14ac:dyDescent="0.25">
      <c r="A758" s="13" t="s">
        <v>193</v>
      </c>
      <c r="B758" s="13" t="s">
        <v>514</v>
      </c>
      <c r="C758" s="13" t="s">
        <v>280</v>
      </c>
      <c r="D758" s="13">
        <v>2</v>
      </c>
      <c r="E758" s="13" t="s">
        <v>247</v>
      </c>
    </row>
    <row r="759" spans="1:5" x14ac:dyDescent="0.25">
      <c r="A759" s="13" t="s">
        <v>193</v>
      </c>
      <c r="B759" s="13" t="s">
        <v>514</v>
      </c>
      <c r="C759" s="13" t="s">
        <v>254</v>
      </c>
      <c r="D759" s="13">
        <v>2</v>
      </c>
      <c r="E759" s="13" t="s">
        <v>247</v>
      </c>
    </row>
    <row r="760" spans="1:5" x14ac:dyDescent="0.25">
      <c r="A760" s="13" t="s">
        <v>215</v>
      </c>
      <c r="B760" s="13" t="s">
        <v>515</v>
      </c>
      <c r="C760" s="13" t="s">
        <v>246</v>
      </c>
      <c r="D760" s="13">
        <v>3</v>
      </c>
      <c r="E760" s="13" t="s">
        <v>177</v>
      </c>
    </row>
    <row r="761" spans="1:5" x14ac:dyDescent="0.25">
      <c r="A761" s="13" t="s">
        <v>215</v>
      </c>
      <c r="B761" s="13" t="s">
        <v>516</v>
      </c>
      <c r="C761" s="13" t="s">
        <v>246</v>
      </c>
      <c r="D761" s="13">
        <v>1</v>
      </c>
      <c r="E761" s="13" t="s">
        <v>247</v>
      </c>
    </row>
    <row r="762" spans="1:5" x14ac:dyDescent="0.25">
      <c r="A762" s="13" t="s">
        <v>215</v>
      </c>
      <c r="B762" s="13" t="s">
        <v>517</v>
      </c>
      <c r="C762" s="13" t="s">
        <v>246</v>
      </c>
      <c r="D762" s="13">
        <v>2</v>
      </c>
      <c r="E762" s="13" t="s">
        <v>177</v>
      </c>
    </row>
    <row r="763" spans="1:5" x14ac:dyDescent="0.25">
      <c r="A763" s="13" t="s">
        <v>215</v>
      </c>
      <c r="B763" s="13" t="s">
        <v>517</v>
      </c>
      <c r="C763" s="13" t="s">
        <v>274</v>
      </c>
      <c r="D763" s="13">
        <v>5</v>
      </c>
      <c r="E763" s="13" t="s">
        <v>271</v>
      </c>
    </row>
    <row r="764" spans="1:5" x14ac:dyDescent="0.25">
      <c r="A764" s="13" t="s">
        <v>215</v>
      </c>
      <c r="B764" s="13" t="s">
        <v>517</v>
      </c>
      <c r="C764" s="13" t="s">
        <v>426</v>
      </c>
      <c r="D764" s="13">
        <v>2</v>
      </c>
      <c r="E764" s="13" t="s">
        <v>271</v>
      </c>
    </row>
    <row r="765" spans="1:5" x14ac:dyDescent="0.25">
      <c r="A765" s="13" t="s">
        <v>207</v>
      </c>
      <c r="B765" s="13" t="s">
        <v>518</v>
      </c>
      <c r="C765" s="13" t="s">
        <v>246</v>
      </c>
      <c r="D765" s="13">
        <v>1</v>
      </c>
      <c r="E765" s="13" t="s">
        <v>247</v>
      </c>
    </row>
    <row r="766" spans="1:5" x14ac:dyDescent="0.25">
      <c r="A766" s="13" t="s">
        <v>207</v>
      </c>
      <c r="B766" s="13" t="s">
        <v>519</v>
      </c>
      <c r="C766" s="13" t="s">
        <v>246</v>
      </c>
      <c r="D766" s="13">
        <v>3</v>
      </c>
      <c r="E766" s="13" t="s">
        <v>177</v>
      </c>
    </row>
    <row r="767" spans="1:5" x14ac:dyDescent="0.25">
      <c r="A767" s="13" t="s">
        <v>207</v>
      </c>
      <c r="B767" s="13" t="s">
        <v>520</v>
      </c>
      <c r="C767" s="13" t="s">
        <v>246</v>
      </c>
      <c r="D767" s="13">
        <v>3</v>
      </c>
      <c r="E767" s="13" t="s">
        <v>264</v>
      </c>
    </row>
    <row r="768" spans="1:5" x14ac:dyDescent="0.25">
      <c r="A768" s="13" t="s">
        <v>219</v>
      </c>
      <c r="B768" s="13" t="s">
        <v>521</v>
      </c>
      <c r="C768" s="13" t="s">
        <v>246</v>
      </c>
      <c r="D768" s="13">
        <v>4</v>
      </c>
      <c r="E768" s="13" t="s">
        <v>247</v>
      </c>
    </row>
    <row r="769" spans="1:5" x14ac:dyDescent="0.25">
      <c r="A769" s="13" t="s">
        <v>219</v>
      </c>
      <c r="B769" s="13" t="s">
        <v>521</v>
      </c>
      <c r="C769" s="13" t="s">
        <v>522</v>
      </c>
      <c r="D769" s="13">
        <v>1</v>
      </c>
      <c r="E769" s="13" t="s">
        <v>247</v>
      </c>
    </row>
    <row r="770" spans="1:5" x14ac:dyDescent="0.25">
      <c r="A770" s="13" t="s">
        <v>219</v>
      </c>
      <c r="B770" s="13" t="s">
        <v>523</v>
      </c>
      <c r="C770" s="13" t="s">
        <v>246</v>
      </c>
      <c r="D770" s="13">
        <v>2</v>
      </c>
      <c r="E770" s="13" t="s">
        <v>264</v>
      </c>
    </row>
    <row r="771" spans="1:5" x14ac:dyDescent="0.25">
      <c r="A771" s="13" t="s">
        <v>219</v>
      </c>
      <c r="B771" s="13" t="s">
        <v>524</v>
      </c>
      <c r="C771" s="13" t="s">
        <v>246</v>
      </c>
      <c r="D771" s="13">
        <v>3</v>
      </c>
      <c r="E771" s="13" t="s">
        <v>264</v>
      </c>
    </row>
    <row r="772" spans="1:5" x14ac:dyDescent="0.25">
      <c r="A772" s="13" t="s">
        <v>219</v>
      </c>
      <c r="B772" s="13" t="s">
        <v>524</v>
      </c>
      <c r="C772" s="13" t="s">
        <v>334</v>
      </c>
      <c r="D772" s="13">
        <v>2</v>
      </c>
      <c r="E772" s="13" t="s">
        <v>279</v>
      </c>
    </row>
    <row r="773" spans="1:5" x14ac:dyDescent="0.25">
      <c r="A773" s="13" t="s">
        <v>221</v>
      </c>
      <c r="B773" s="13" t="s">
        <v>525</v>
      </c>
      <c r="C773" s="13" t="s">
        <v>246</v>
      </c>
      <c r="D773" s="13">
        <v>2</v>
      </c>
      <c r="E773" s="13" t="s">
        <v>271</v>
      </c>
    </row>
    <row r="774" spans="1:5" x14ac:dyDescent="0.25">
      <c r="A774" s="13" t="s">
        <v>221</v>
      </c>
      <c r="B774" s="13" t="s">
        <v>526</v>
      </c>
      <c r="C774" s="13" t="s">
        <v>246</v>
      </c>
      <c r="D774" s="13">
        <v>2</v>
      </c>
      <c r="E774" s="13" t="s">
        <v>177</v>
      </c>
    </row>
    <row r="775" spans="1:5" x14ac:dyDescent="0.25">
      <c r="A775" s="13" t="s">
        <v>221</v>
      </c>
      <c r="B775" s="13" t="s">
        <v>526</v>
      </c>
      <c r="C775" s="13" t="s">
        <v>252</v>
      </c>
      <c r="D775" s="13">
        <v>2</v>
      </c>
      <c r="E775" s="13" t="s">
        <v>279</v>
      </c>
    </row>
    <row r="776" spans="1:5" x14ac:dyDescent="0.25">
      <c r="A776" s="13" t="s">
        <v>221</v>
      </c>
      <c r="B776" s="13" t="s">
        <v>527</v>
      </c>
      <c r="C776" s="13" t="s">
        <v>246</v>
      </c>
      <c r="D776" s="13">
        <v>2</v>
      </c>
      <c r="E776" s="13" t="s">
        <v>271</v>
      </c>
    </row>
    <row r="777" spans="1:5" x14ac:dyDescent="0.25">
      <c r="A777" s="13" t="s">
        <v>218</v>
      </c>
      <c r="B777" s="13" t="s">
        <v>528</v>
      </c>
      <c r="C777" s="13" t="s">
        <v>259</v>
      </c>
      <c r="D777" s="13">
        <v>1</v>
      </c>
      <c r="E777" s="13" t="s">
        <v>271</v>
      </c>
    </row>
    <row r="778" spans="1:5" x14ac:dyDescent="0.25">
      <c r="A778" s="13" t="s">
        <v>218</v>
      </c>
      <c r="B778" s="13" t="s">
        <v>529</v>
      </c>
      <c r="C778" s="13" t="s">
        <v>269</v>
      </c>
      <c r="D778" s="13">
        <v>4</v>
      </c>
      <c r="E778" s="13" t="s">
        <v>279</v>
      </c>
    </row>
    <row r="779" spans="1:5" x14ac:dyDescent="0.25">
      <c r="A779" s="13" t="s">
        <v>218</v>
      </c>
      <c r="B779" s="13" t="s">
        <v>529</v>
      </c>
      <c r="C779" s="13" t="s">
        <v>530</v>
      </c>
      <c r="D779" s="13">
        <v>2</v>
      </c>
      <c r="E779" s="13" t="s">
        <v>271</v>
      </c>
    </row>
    <row r="780" spans="1:5" x14ac:dyDescent="0.25">
      <c r="A780" s="13" t="s">
        <v>218</v>
      </c>
      <c r="B780" s="13" t="s">
        <v>529</v>
      </c>
      <c r="C780" s="13" t="s">
        <v>246</v>
      </c>
      <c r="D780" s="13">
        <v>2</v>
      </c>
      <c r="E780" s="13" t="s">
        <v>177</v>
      </c>
    </row>
    <row r="781" spans="1:5" x14ac:dyDescent="0.25">
      <c r="A781" s="13" t="s">
        <v>218</v>
      </c>
      <c r="B781" s="13" t="s">
        <v>531</v>
      </c>
      <c r="C781" s="13" t="s">
        <v>269</v>
      </c>
      <c r="D781" s="13">
        <v>4</v>
      </c>
      <c r="E781" s="13" t="s">
        <v>279</v>
      </c>
    </row>
    <row r="782" spans="1:5" x14ac:dyDescent="0.25">
      <c r="A782" s="13" t="s">
        <v>218</v>
      </c>
      <c r="B782" s="13" t="s">
        <v>531</v>
      </c>
      <c r="C782" s="13" t="s">
        <v>274</v>
      </c>
      <c r="D782" s="13">
        <v>1</v>
      </c>
      <c r="E782" s="13" t="s">
        <v>279</v>
      </c>
    </row>
    <row r="783" spans="1:5" x14ac:dyDescent="0.25">
      <c r="A783" s="13" t="s">
        <v>218</v>
      </c>
      <c r="B783" s="13" t="s">
        <v>531</v>
      </c>
      <c r="C783" s="13" t="s">
        <v>259</v>
      </c>
      <c r="D783" s="13">
        <v>1</v>
      </c>
      <c r="E783" s="13" t="s">
        <v>279</v>
      </c>
    </row>
    <row r="784" spans="1:5" x14ac:dyDescent="0.25">
      <c r="A784" s="13" t="s">
        <v>218</v>
      </c>
      <c r="B784" s="13" t="s">
        <v>531</v>
      </c>
      <c r="C784" s="13" t="s">
        <v>475</v>
      </c>
      <c r="D784" s="13">
        <v>1</v>
      </c>
      <c r="E784" s="13" t="s">
        <v>279</v>
      </c>
    </row>
    <row r="785" spans="1:5" x14ac:dyDescent="0.25">
      <c r="A785" s="13" t="s">
        <v>218</v>
      </c>
      <c r="B785" s="13" t="s">
        <v>531</v>
      </c>
      <c r="C785" s="13" t="s">
        <v>278</v>
      </c>
      <c r="D785" s="13">
        <v>1</v>
      </c>
      <c r="E785" s="13" t="s">
        <v>279</v>
      </c>
    </row>
    <row r="786" spans="1:5" x14ac:dyDescent="0.25">
      <c r="A786" s="13" t="s">
        <v>206</v>
      </c>
      <c r="B786" s="13" t="s">
        <v>532</v>
      </c>
      <c r="C786" s="13" t="s">
        <v>246</v>
      </c>
      <c r="D786" s="13">
        <v>3</v>
      </c>
      <c r="E786" s="13" t="s">
        <v>177</v>
      </c>
    </row>
    <row r="787" spans="1:5" x14ac:dyDescent="0.25">
      <c r="A787" s="13" t="s">
        <v>206</v>
      </c>
      <c r="B787" s="13" t="s">
        <v>533</v>
      </c>
      <c r="C787" s="13" t="s">
        <v>246</v>
      </c>
      <c r="D787" s="13">
        <v>4</v>
      </c>
      <c r="E787" s="13" t="s">
        <v>177</v>
      </c>
    </row>
    <row r="788" spans="1:5" x14ac:dyDescent="0.25">
      <c r="A788" s="13" t="s">
        <v>206</v>
      </c>
      <c r="B788" s="13" t="s">
        <v>533</v>
      </c>
      <c r="C788" s="13" t="s">
        <v>267</v>
      </c>
      <c r="D788" s="13">
        <v>2</v>
      </c>
      <c r="E788" s="13" t="s">
        <v>279</v>
      </c>
    </row>
    <row r="789" spans="1:5" x14ac:dyDescent="0.25">
      <c r="A789" s="13" t="s">
        <v>206</v>
      </c>
      <c r="B789" s="13" t="s">
        <v>533</v>
      </c>
      <c r="C789" s="13" t="s">
        <v>274</v>
      </c>
      <c r="D789" s="13">
        <v>3</v>
      </c>
      <c r="E789" s="13" t="s">
        <v>282</v>
      </c>
    </row>
    <row r="790" spans="1:5" x14ac:dyDescent="0.25">
      <c r="A790" s="13" t="s">
        <v>206</v>
      </c>
      <c r="B790" s="13" t="s">
        <v>534</v>
      </c>
      <c r="C790" s="13" t="s">
        <v>246</v>
      </c>
      <c r="D790" s="13">
        <v>3</v>
      </c>
      <c r="E790" s="13" t="s">
        <v>264</v>
      </c>
    </row>
    <row r="791" spans="1:5" x14ac:dyDescent="0.25">
      <c r="A791" s="13" t="s">
        <v>206</v>
      </c>
      <c r="B791" s="13" t="s">
        <v>534</v>
      </c>
      <c r="C791" s="13" t="s">
        <v>267</v>
      </c>
      <c r="D791" s="13">
        <v>2</v>
      </c>
      <c r="E791" s="13" t="s">
        <v>279</v>
      </c>
    </row>
    <row r="792" spans="1:5" x14ac:dyDescent="0.25">
      <c r="A792" s="13" t="s">
        <v>206</v>
      </c>
      <c r="B792" s="13" t="s">
        <v>534</v>
      </c>
      <c r="C792" s="13" t="s">
        <v>274</v>
      </c>
      <c r="D792" s="13">
        <v>4</v>
      </c>
      <c r="E792" s="13" t="s">
        <v>282</v>
      </c>
    </row>
    <row r="793" spans="1:5" x14ac:dyDescent="0.25">
      <c r="A793" s="13" t="s">
        <v>179</v>
      </c>
      <c r="B793" s="13" t="s">
        <v>535</v>
      </c>
      <c r="C793" s="13" t="s">
        <v>246</v>
      </c>
      <c r="D793" s="13">
        <v>3</v>
      </c>
      <c r="E793" s="13" t="s">
        <v>247</v>
      </c>
    </row>
    <row r="794" spans="1:5" x14ac:dyDescent="0.25">
      <c r="A794" s="13" t="s">
        <v>179</v>
      </c>
      <c r="B794" s="13" t="s">
        <v>535</v>
      </c>
      <c r="C794" s="13" t="s">
        <v>249</v>
      </c>
      <c r="D794" s="13">
        <v>3</v>
      </c>
      <c r="E794" s="13" t="s">
        <v>247</v>
      </c>
    </row>
    <row r="795" spans="1:5" x14ac:dyDescent="0.25">
      <c r="A795" s="13" t="s">
        <v>179</v>
      </c>
      <c r="B795" s="13" t="s">
        <v>535</v>
      </c>
      <c r="C795" s="13" t="s">
        <v>245</v>
      </c>
      <c r="D795" s="13">
        <v>2</v>
      </c>
      <c r="E795" s="13" t="s">
        <v>247</v>
      </c>
    </row>
    <row r="796" spans="1:5" x14ac:dyDescent="0.25">
      <c r="A796" s="13" t="s">
        <v>179</v>
      </c>
      <c r="B796" s="13" t="s">
        <v>535</v>
      </c>
      <c r="C796" s="13" t="s">
        <v>253</v>
      </c>
      <c r="D796" s="13">
        <v>2</v>
      </c>
      <c r="E796" s="13" t="s">
        <v>247</v>
      </c>
    </row>
    <row r="797" spans="1:5" x14ac:dyDescent="0.25">
      <c r="A797" s="13" t="s">
        <v>179</v>
      </c>
      <c r="B797" s="13" t="s">
        <v>536</v>
      </c>
      <c r="C797" s="13" t="s">
        <v>249</v>
      </c>
      <c r="D797" s="13">
        <v>4</v>
      </c>
      <c r="E797" s="13" t="s">
        <v>264</v>
      </c>
    </row>
    <row r="798" spans="1:5" x14ac:dyDescent="0.25">
      <c r="A798" s="13" t="s">
        <v>179</v>
      </c>
      <c r="B798" s="13" t="s">
        <v>536</v>
      </c>
      <c r="C798" s="13" t="s">
        <v>245</v>
      </c>
      <c r="D798" s="13">
        <v>1</v>
      </c>
      <c r="E798" s="13" t="s">
        <v>247</v>
      </c>
    </row>
    <row r="799" spans="1:5" x14ac:dyDescent="0.25">
      <c r="A799" s="13" t="s">
        <v>179</v>
      </c>
      <c r="B799" s="13" t="s">
        <v>536</v>
      </c>
      <c r="C799" s="13" t="s">
        <v>246</v>
      </c>
      <c r="D799" s="13">
        <v>1</v>
      </c>
      <c r="E799" s="13" t="s">
        <v>247</v>
      </c>
    </row>
    <row r="800" spans="1:5" x14ac:dyDescent="0.25">
      <c r="A800" s="13" t="s">
        <v>179</v>
      </c>
      <c r="B800" s="13" t="s">
        <v>537</v>
      </c>
      <c r="C800" s="13" t="s">
        <v>249</v>
      </c>
      <c r="D800" s="13">
        <v>3</v>
      </c>
      <c r="E800" s="13" t="s">
        <v>264</v>
      </c>
    </row>
    <row r="801" spans="1:5" x14ac:dyDescent="0.25">
      <c r="A801" s="13" t="s">
        <v>179</v>
      </c>
      <c r="B801" s="13" t="s">
        <v>537</v>
      </c>
      <c r="C801" s="13" t="s">
        <v>246</v>
      </c>
      <c r="D801" s="13">
        <v>1</v>
      </c>
      <c r="E801" s="13" t="s">
        <v>247</v>
      </c>
    </row>
    <row r="802" spans="1:5" x14ac:dyDescent="0.25">
      <c r="A802" s="13" t="s">
        <v>197</v>
      </c>
      <c r="B802" s="13" t="s">
        <v>538</v>
      </c>
      <c r="C802" s="13" t="s">
        <v>274</v>
      </c>
      <c r="D802" s="13">
        <v>6</v>
      </c>
      <c r="E802" s="13" t="s">
        <v>282</v>
      </c>
    </row>
    <row r="803" spans="1:5" x14ac:dyDescent="0.25">
      <c r="A803" s="13" t="s">
        <v>197</v>
      </c>
      <c r="B803" s="13" t="s">
        <v>538</v>
      </c>
      <c r="C803" s="13" t="s">
        <v>269</v>
      </c>
      <c r="D803" s="13">
        <v>4</v>
      </c>
      <c r="E803" s="13" t="s">
        <v>271</v>
      </c>
    </row>
    <row r="804" spans="1:5" x14ac:dyDescent="0.25">
      <c r="A804" s="13" t="s">
        <v>197</v>
      </c>
      <c r="B804" s="13" t="s">
        <v>538</v>
      </c>
      <c r="C804" s="13" t="s">
        <v>334</v>
      </c>
      <c r="D804" s="13">
        <v>3</v>
      </c>
      <c r="E804" s="13" t="s">
        <v>271</v>
      </c>
    </row>
    <row r="805" spans="1:5" x14ac:dyDescent="0.25">
      <c r="A805" s="13" t="s">
        <v>197</v>
      </c>
      <c r="B805" s="13" t="s">
        <v>538</v>
      </c>
      <c r="C805" s="13" t="s">
        <v>539</v>
      </c>
      <c r="D805" s="13">
        <v>5</v>
      </c>
      <c r="E805" s="13" t="s">
        <v>247</v>
      </c>
    </row>
    <row r="806" spans="1:5" x14ac:dyDescent="0.25">
      <c r="A806" s="13" t="s">
        <v>197</v>
      </c>
      <c r="B806" s="13" t="s">
        <v>540</v>
      </c>
      <c r="C806" s="13" t="s">
        <v>274</v>
      </c>
      <c r="D806" s="13">
        <v>6</v>
      </c>
      <c r="E806" s="13" t="s">
        <v>282</v>
      </c>
    </row>
    <row r="807" spans="1:5" x14ac:dyDescent="0.25">
      <c r="A807" s="13" t="s">
        <v>197</v>
      </c>
      <c r="B807" s="13" t="s">
        <v>540</v>
      </c>
      <c r="C807" s="13" t="s">
        <v>259</v>
      </c>
      <c r="D807" s="13">
        <v>2</v>
      </c>
      <c r="E807" s="13" t="s">
        <v>264</v>
      </c>
    </row>
    <row r="808" spans="1:5" x14ac:dyDescent="0.25">
      <c r="A808" s="13" t="s">
        <v>197</v>
      </c>
      <c r="B808" s="13" t="s">
        <v>538</v>
      </c>
      <c r="C808" s="13" t="s">
        <v>269</v>
      </c>
      <c r="D808" s="13">
        <v>3</v>
      </c>
      <c r="E808" s="13" t="s">
        <v>264</v>
      </c>
    </row>
    <row r="809" spans="1:5" x14ac:dyDescent="0.25">
      <c r="A809" s="13" t="s">
        <v>197</v>
      </c>
      <c r="B809" s="13" t="s">
        <v>540</v>
      </c>
      <c r="C809" s="13" t="s">
        <v>539</v>
      </c>
      <c r="D809" s="13">
        <v>2</v>
      </c>
      <c r="E809" s="13" t="s">
        <v>247</v>
      </c>
    </row>
    <row r="810" spans="1:5" x14ac:dyDescent="0.25">
      <c r="A810" s="13" t="s">
        <v>197</v>
      </c>
      <c r="B810" s="13" t="s">
        <v>541</v>
      </c>
      <c r="C810" s="13" t="s">
        <v>274</v>
      </c>
      <c r="D810" s="13">
        <v>6</v>
      </c>
      <c r="E810" s="13" t="s">
        <v>282</v>
      </c>
    </row>
    <row r="811" spans="1:5" x14ac:dyDescent="0.25">
      <c r="A811" s="13" t="s">
        <v>197</v>
      </c>
      <c r="B811" s="13" t="s">
        <v>541</v>
      </c>
      <c r="C811" s="13" t="s">
        <v>269</v>
      </c>
      <c r="D811" s="13">
        <v>3</v>
      </c>
      <c r="E811" s="13" t="s">
        <v>271</v>
      </c>
    </row>
    <row r="812" spans="1:5" x14ac:dyDescent="0.25">
      <c r="A812" s="13" t="s">
        <v>227</v>
      </c>
      <c r="B812" s="13" t="s">
        <v>542</v>
      </c>
      <c r="C812" s="13" t="s">
        <v>246</v>
      </c>
      <c r="D812" s="13">
        <v>1</v>
      </c>
      <c r="E812" s="13" t="s">
        <v>247</v>
      </c>
    </row>
    <row r="813" spans="1:5" x14ac:dyDescent="0.25">
      <c r="A813" s="13" t="s">
        <v>227</v>
      </c>
      <c r="B813" s="13" t="s">
        <v>543</v>
      </c>
      <c r="C813" s="13" t="s">
        <v>246</v>
      </c>
      <c r="D813" s="13">
        <v>2</v>
      </c>
      <c r="E813" s="13" t="s">
        <v>264</v>
      </c>
    </row>
    <row r="814" spans="1:5" x14ac:dyDescent="0.25">
      <c r="A814" s="13" t="s">
        <v>227</v>
      </c>
      <c r="B814" s="13" t="s">
        <v>544</v>
      </c>
      <c r="C814" s="13" t="s">
        <v>246</v>
      </c>
      <c r="D814" s="13">
        <v>3</v>
      </c>
      <c r="E814" s="13" t="s">
        <v>271</v>
      </c>
    </row>
    <row r="815" spans="1:5" x14ac:dyDescent="0.25">
      <c r="A815" s="13" t="s">
        <v>209</v>
      </c>
      <c r="B815" s="13" t="s">
        <v>545</v>
      </c>
      <c r="C815" s="13" t="s">
        <v>246</v>
      </c>
      <c r="D815" s="13">
        <v>3</v>
      </c>
      <c r="E815" s="13" t="s">
        <v>177</v>
      </c>
    </row>
    <row r="816" spans="1:5" x14ac:dyDescent="0.25">
      <c r="A816" s="13" t="s">
        <v>209</v>
      </c>
      <c r="B816" s="13" t="s">
        <v>546</v>
      </c>
      <c r="C816" s="13" t="s">
        <v>246</v>
      </c>
      <c r="D816" s="13">
        <v>2</v>
      </c>
      <c r="E816" s="13" t="s">
        <v>264</v>
      </c>
    </row>
    <row r="817" spans="1:5" x14ac:dyDescent="0.25">
      <c r="A817" s="13" t="s">
        <v>209</v>
      </c>
      <c r="B817" s="13" t="s">
        <v>547</v>
      </c>
      <c r="C817" s="13" t="s">
        <v>246</v>
      </c>
      <c r="D817" s="13">
        <v>1</v>
      </c>
      <c r="E817" s="13" t="s">
        <v>264</v>
      </c>
    </row>
    <row r="818" spans="1:5" x14ac:dyDescent="0.25">
      <c r="A818" s="13" t="s">
        <v>223</v>
      </c>
      <c r="B818" s="13" t="s">
        <v>548</v>
      </c>
      <c r="C818" s="13" t="s">
        <v>246</v>
      </c>
      <c r="D818" s="13">
        <v>5</v>
      </c>
      <c r="E818" s="13" t="s">
        <v>247</v>
      </c>
    </row>
    <row r="819" spans="1:5" x14ac:dyDescent="0.25">
      <c r="A819" s="13" t="s">
        <v>223</v>
      </c>
      <c r="B819" s="13" t="s">
        <v>548</v>
      </c>
      <c r="C819" s="13" t="s">
        <v>334</v>
      </c>
      <c r="D819" s="13">
        <v>1</v>
      </c>
      <c r="E819" s="13" t="s">
        <v>271</v>
      </c>
    </row>
    <row r="820" spans="1:5" x14ac:dyDescent="0.25">
      <c r="A820" s="13" t="s">
        <v>223</v>
      </c>
      <c r="B820" s="13" t="s">
        <v>549</v>
      </c>
      <c r="C820" s="13" t="s">
        <v>246</v>
      </c>
      <c r="D820" s="13">
        <v>3</v>
      </c>
      <c r="E820" s="13" t="s">
        <v>177</v>
      </c>
    </row>
    <row r="821" spans="1:5" x14ac:dyDescent="0.25">
      <c r="A821" s="13" t="s">
        <v>223</v>
      </c>
      <c r="B821" s="13" t="s">
        <v>550</v>
      </c>
      <c r="C821" s="13" t="s">
        <v>246</v>
      </c>
      <c r="D821" s="13">
        <v>3</v>
      </c>
      <c r="E821" s="13" t="s">
        <v>247</v>
      </c>
    </row>
    <row r="822" spans="1:5" x14ac:dyDescent="0.25">
      <c r="A822" s="13" t="s">
        <v>224</v>
      </c>
      <c r="B822" s="13" t="s">
        <v>551</v>
      </c>
      <c r="C822" s="13" t="s">
        <v>246</v>
      </c>
      <c r="D822" s="13">
        <v>3</v>
      </c>
      <c r="E822" s="13" t="s">
        <v>264</v>
      </c>
    </row>
    <row r="823" spans="1:5" x14ac:dyDescent="0.25">
      <c r="A823" s="13" t="s">
        <v>224</v>
      </c>
      <c r="B823" s="13" t="s">
        <v>551</v>
      </c>
      <c r="C823" s="13" t="s">
        <v>267</v>
      </c>
      <c r="D823" s="13">
        <v>1</v>
      </c>
      <c r="E823" s="13" t="s">
        <v>264</v>
      </c>
    </row>
    <row r="824" spans="1:5" x14ac:dyDescent="0.25">
      <c r="A824" s="13" t="s">
        <v>224</v>
      </c>
      <c r="B824" s="13" t="s">
        <v>552</v>
      </c>
      <c r="C824" s="13" t="s">
        <v>246</v>
      </c>
      <c r="D824" s="13">
        <v>2</v>
      </c>
      <c r="E824" s="13" t="s">
        <v>247</v>
      </c>
    </row>
    <row r="825" spans="1:5" x14ac:dyDescent="0.25">
      <c r="A825" s="13" t="s">
        <v>224</v>
      </c>
      <c r="B825" s="13" t="s">
        <v>552</v>
      </c>
      <c r="C825" s="13" t="s">
        <v>267</v>
      </c>
      <c r="D825" s="13">
        <v>1</v>
      </c>
      <c r="E825" s="13" t="s">
        <v>247</v>
      </c>
    </row>
    <row r="826" spans="1:5" x14ac:dyDescent="0.25">
      <c r="A826" s="13" t="s">
        <v>224</v>
      </c>
      <c r="B826" s="13" t="s">
        <v>553</v>
      </c>
      <c r="C826" s="13" t="s">
        <v>246</v>
      </c>
      <c r="D826" s="13">
        <v>4</v>
      </c>
      <c r="E826" s="13" t="s">
        <v>264</v>
      </c>
    </row>
    <row r="827" spans="1:5" x14ac:dyDescent="0.25">
      <c r="A827" s="13" t="s">
        <v>226</v>
      </c>
      <c r="B827" s="13" t="s">
        <v>554</v>
      </c>
      <c r="C827" s="13" t="s">
        <v>246</v>
      </c>
      <c r="D827" s="13">
        <v>5</v>
      </c>
      <c r="E827" s="13" t="s">
        <v>177</v>
      </c>
    </row>
    <row r="828" spans="1:5" x14ac:dyDescent="0.25">
      <c r="A828" s="13" t="s">
        <v>226</v>
      </c>
      <c r="B828" s="13" t="s">
        <v>555</v>
      </c>
      <c r="C828" s="13" t="s">
        <v>246</v>
      </c>
      <c r="D828" s="13">
        <v>6</v>
      </c>
      <c r="E828" s="13" t="s">
        <v>247</v>
      </c>
    </row>
    <row r="829" spans="1:5" x14ac:dyDescent="0.25">
      <c r="A829" s="13" t="s">
        <v>226</v>
      </c>
      <c r="B829" s="13" t="s">
        <v>556</v>
      </c>
      <c r="C829" s="13" t="s">
        <v>246</v>
      </c>
      <c r="D829" s="13">
        <v>5</v>
      </c>
      <c r="E829" s="13" t="s">
        <v>247</v>
      </c>
    </row>
    <row r="830" spans="1:5" x14ac:dyDescent="0.25">
      <c r="A830" s="13" t="s">
        <v>124</v>
      </c>
      <c r="B830" s="13" t="s">
        <v>557</v>
      </c>
      <c r="C830" s="13" t="s">
        <v>246</v>
      </c>
      <c r="D830" s="13">
        <v>4</v>
      </c>
      <c r="E830" s="13" t="s">
        <v>177</v>
      </c>
    </row>
    <row r="831" spans="1:5" x14ac:dyDescent="0.25">
      <c r="A831" s="13" t="s">
        <v>124</v>
      </c>
      <c r="B831" s="13" t="s">
        <v>558</v>
      </c>
      <c r="C831" s="13" t="s">
        <v>246</v>
      </c>
      <c r="D831" s="13">
        <v>3</v>
      </c>
      <c r="E831" s="13" t="s">
        <v>177</v>
      </c>
    </row>
    <row r="832" spans="1:5" x14ac:dyDescent="0.25">
      <c r="A832" s="13" t="s">
        <v>124</v>
      </c>
      <c r="B832" s="13" t="s">
        <v>559</v>
      </c>
      <c r="C832" s="13" t="s">
        <v>246</v>
      </c>
      <c r="D832" s="13">
        <v>4</v>
      </c>
      <c r="E832" s="13" t="s">
        <v>177</v>
      </c>
    </row>
    <row r="833" spans="1:5" x14ac:dyDescent="0.25">
      <c r="A833" s="13" t="s">
        <v>158</v>
      </c>
      <c r="B833" s="13" t="s">
        <v>560</v>
      </c>
      <c r="C833" s="13" t="s">
        <v>246</v>
      </c>
      <c r="D833" s="13">
        <v>1</v>
      </c>
      <c r="E833" s="13" t="s">
        <v>279</v>
      </c>
    </row>
    <row r="834" spans="1:5" x14ac:dyDescent="0.25">
      <c r="A834" s="13" t="s">
        <v>158</v>
      </c>
      <c r="B834" s="13" t="s">
        <v>560</v>
      </c>
      <c r="C834" s="13" t="s">
        <v>273</v>
      </c>
      <c r="D834" s="13">
        <v>1</v>
      </c>
      <c r="E834" s="13" t="s">
        <v>279</v>
      </c>
    </row>
    <row r="835" spans="1:5" x14ac:dyDescent="0.25">
      <c r="A835" s="13" t="s">
        <v>160</v>
      </c>
      <c r="B835" s="13" t="s">
        <v>561</v>
      </c>
      <c r="C835" s="13" t="s">
        <v>273</v>
      </c>
      <c r="D835" s="13">
        <v>2</v>
      </c>
      <c r="E835" s="13" t="s">
        <v>279</v>
      </c>
    </row>
    <row r="836" spans="1:5" x14ac:dyDescent="0.25">
      <c r="A836" s="13" t="s">
        <v>160</v>
      </c>
      <c r="B836" s="13" t="s">
        <v>561</v>
      </c>
      <c r="C836" s="13" t="s">
        <v>245</v>
      </c>
      <c r="D836" s="13">
        <v>1</v>
      </c>
      <c r="E836" s="13" t="s">
        <v>264</v>
      </c>
    </row>
    <row r="837" spans="1:5" x14ac:dyDescent="0.25">
      <c r="A837" s="13" t="s">
        <v>160</v>
      </c>
      <c r="B837" s="13" t="s">
        <v>561</v>
      </c>
      <c r="C837" s="13" t="s">
        <v>252</v>
      </c>
      <c r="D837" s="13">
        <v>1</v>
      </c>
      <c r="E837" s="13" t="s">
        <v>271</v>
      </c>
    </row>
    <row r="838" spans="1:5" x14ac:dyDescent="0.25">
      <c r="A838" s="13" t="s">
        <v>160</v>
      </c>
      <c r="B838" s="13" t="s">
        <v>562</v>
      </c>
      <c r="C838" s="13" t="s">
        <v>273</v>
      </c>
      <c r="D838" s="13">
        <v>2</v>
      </c>
      <c r="E838" s="13" t="s">
        <v>279</v>
      </c>
    </row>
    <row r="839" spans="1:5" x14ac:dyDescent="0.25">
      <c r="A839" s="13" t="s">
        <v>160</v>
      </c>
      <c r="B839" s="13" t="s">
        <v>562</v>
      </c>
      <c r="C839" s="13" t="s">
        <v>280</v>
      </c>
      <c r="D839" s="13">
        <v>1</v>
      </c>
      <c r="E839" s="13" t="s">
        <v>264</v>
      </c>
    </row>
    <row r="840" spans="1:5" x14ac:dyDescent="0.25">
      <c r="A840" s="13" t="s">
        <v>160</v>
      </c>
      <c r="B840" s="13" t="s">
        <v>562</v>
      </c>
      <c r="C840" s="13" t="s">
        <v>245</v>
      </c>
      <c r="D840" s="13">
        <v>1</v>
      </c>
      <c r="E840" s="13" t="s">
        <v>177</v>
      </c>
    </row>
    <row r="841" spans="1:5" x14ac:dyDescent="0.25">
      <c r="A841" s="13" t="s">
        <v>160</v>
      </c>
      <c r="B841" s="13" t="s">
        <v>563</v>
      </c>
      <c r="C841" s="13" t="s">
        <v>273</v>
      </c>
      <c r="D841" s="13">
        <v>2</v>
      </c>
      <c r="E841" s="13" t="s">
        <v>279</v>
      </c>
    </row>
    <row r="842" spans="1:5" x14ac:dyDescent="0.25">
      <c r="A842" s="13" t="s">
        <v>160</v>
      </c>
      <c r="B842" s="13" t="s">
        <v>563</v>
      </c>
      <c r="C842" s="13" t="s">
        <v>246</v>
      </c>
      <c r="D842" s="13">
        <v>2</v>
      </c>
      <c r="E842" s="13" t="s">
        <v>279</v>
      </c>
    </row>
    <row r="843" spans="1:5" x14ac:dyDescent="0.25">
      <c r="A843" s="13" t="s">
        <v>160</v>
      </c>
      <c r="B843" s="13" t="s">
        <v>563</v>
      </c>
      <c r="C843" s="13" t="s">
        <v>245</v>
      </c>
      <c r="D843" s="13">
        <v>1</v>
      </c>
      <c r="E843" s="13" t="s">
        <v>177</v>
      </c>
    </row>
    <row r="844" spans="1:5" x14ac:dyDescent="0.25">
      <c r="A844" s="13" t="s">
        <v>202</v>
      </c>
      <c r="B844" s="13" t="s">
        <v>564</v>
      </c>
      <c r="C844" s="13" t="s">
        <v>249</v>
      </c>
      <c r="D844" s="13">
        <v>5</v>
      </c>
      <c r="E844" s="13" t="s">
        <v>247</v>
      </c>
    </row>
    <row r="845" spans="1:5" x14ac:dyDescent="0.25">
      <c r="A845" s="13" t="s">
        <v>202</v>
      </c>
      <c r="B845" s="13" t="s">
        <v>564</v>
      </c>
      <c r="C845" s="13" t="s">
        <v>246</v>
      </c>
      <c r="D845" s="13">
        <v>5</v>
      </c>
      <c r="E845" s="13" t="s">
        <v>177</v>
      </c>
    </row>
    <row r="846" spans="1:5" x14ac:dyDescent="0.25">
      <c r="A846" s="13" t="s">
        <v>202</v>
      </c>
      <c r="B846" s="13" t="s">
        <v>564</v>
      </c>
      <c r="C846" s="13" t="s">
        <v>252</v>
      </c>
      <c r="D846" s="13">
        <v>1</v>
      </c>
      <c r="E846" s="13" t="s">
        <v>177</v>
      </c>
    </row>
    <row r="847" spans="1:5" x14ac:dyDescent="0.25">
      <c r="A847" s="13" t="s">
        <v>202</v>
      </c>
      <c r="B847" s="13" t="s">
        <v>564</v>
      </c>
      <c r="C847" s="13" t="s">
        <v>273</v>
      </c>
      <c r="D847" s="13">
        <v>2</v>
      </c>
      <c r="E847" s="13" t="s">
        <v>247</v>
      </c>
    </row>
    <row r="848" spans="1:5" x14ac:dyDescent="0.25">
      <c r="A848" s="13" t="s">
        <v>202</v>
      </c>
      <c r="B848" s="13" t="s">
        <v>565</v>
      </c>
      <c r="C848" s="13" t="s">
        <v>249</v>
      </c>
      <c r="D848" s="13">
        <v>3</v>
      </c>
      <c r="E848" s="13" t="s">
        <v>247</v>
      </c>
    </row>
    <row r="849" spans="1:5" x14ac:dyDescent="0.25">
      <c r="A849" s="13" t="s">
        <v>202</v>
      </c>
      <c r="B849" s="13" t="s">
        <v>565</v>
      </c>
      <c r="C849" s="13" t="s">
        <v>246</v>
      </c>
      <c r="D849" s="13">
        <v>5</v>
      </c>
      <c r="E849" s="13" t="s">
        <v>247</v>
      </c>
    </row>
    <row r="850" spans="1:5" x14ac:dyDescent="0.25">
      <c r="A850" s="13" t="s">
        <v>202</v>
      </c>
      <c r="B850" s="13" t="s">
        <v>565</v>
      </c>
      <c r="C850" s="13" t="s">
        <v>252</v>
      </c>
      <c r="D850" s="13">
        <v>1</v>
      </c>
      <c r="E850" s="13" t="s">
        <v>247</v>
      </c>
    </row>
    <row r="851" spans="1:5" x14ac:dyDescent="0.25">
      <c r="A851" s="13" t="s">
        <v>202</v>
      </c>
      <c r="B851" s="13" t="s">
        <v>565</v>
      </c>
      <c r="C851" s="13" t="s">
        <v>566</v>
      </c>
      <c r="D851" s="13">
        <v>1</v>
      </c>
      <c r="E851" s="13" t="s">
        <v>247</v>
      </c>
    </row>
    <row r="852" spans="1:5" x14ac:dyDescent="0.25">
      <c r="A852" s="13" t="s">
        <v>202</v>
      </c>
      <c r="B852" s="13" t="s">
        <v>565</v>
      </c>
      <c r="C852" s="13" t="s">
        <v>245</v>
      </c>
      <c r="D852" s="13">
        <v>1</v>
      </c>
      <c r="E852" s="13" t="s">
        <v>247</v>
      </c>
    </row>
    <row r="853" spans="1:5" x14ac:dyDescent="0.25">
      <c r="A853" s="13" t="s">
        <v>202</v>
      </c>
      <c r="B853" s="13" t="s">
        <v>567</v>
      </c>
      <c r="C853" s="13" t="s">
        <v>249</v>
      </c>
      <c r="D853" s="13">
        <v>5</v>
      </c>
      <c r="E853" s="13" t="s">
        <v>247</v>
      </c>
    </row>
    <row r="854" spans="1:5" x14ac:dyDescent="0.25">
      <c r="A854" s="13" t="s">
        <v>202</v>
      </c>
      <c r="B854" s="13" t="s">
        <v>567</v>
      </c>
      <c r="C854" s="13" t="s">
        <v>252</v>
      </c>
      <c r="D854" s="13">
        <v>1</v>
      </c>
      <c r="E854" s="13" t="s">
        <v>247</v>
      </c>
    </row>
    <row r="855" spans="1:5" x14ac:dyDescent="0.25">
      <c r="A855" s="13" t="s">
        <v>202</v>
      </c>
      <c r="B855" s="13" t="s">
        <v>567</v>
      </c>
      <c r="C855" s="13" t="s">
        <v>273</v>
      </c>
      <c r="D855" s="13">
        <v>2</v>
      </c>
      <c r="E855" s="13" t="s">
        <v>247</v>
      </c>
    </row>
    <row r="856" spans="1:5" x14ac:dyDescent="0.25">
      <c r="A856" s="13" t="s">
        <v>202</v>
      </c>
      <c r="B856" s="13" t="s">
        <v>567</v>
      </c>
      <c r="C856" s="13" t="s">
        <v>566</v>
      </c>
      <c r="D856" s="13">
        <v>1</v>
      </c>
      <c r="E856" s="13" t="s">
        <v>247</v>
      </c>
    </row>
    <row r="857" spans="1:5" x14ac:dyDescent="0.25">
      <c r="A857" s="13" t="s">
        <v>201</v>
      </c>
      <c r="B857" s="13" t="s">
        <v>568</v>
      </c>
      <c r="C857" s="13" t="s">
        <v>246</v>
      </c>
      <c r="D857" s="13">
        <v>3</v>
      </c>
      <c r="E857" s="13" t="s">
        <v>247</v>
      </c>
    </row>
    <row r="858" spans="1:5" x14ac:dyDescent="0.25">
      <c r="A858" s="13" t="s">
        <v>201</v>
      </c>
      <c r="B858" s="13" t="s">
        <v>568</v>
      </c>
      <c r="C858" s="13" t="s">
        <v>249</v>
      </c>
      <c r="D858" s="13">
        <v>4</v>
      </c>
      <c r="E858" s="13" t="s">
        <v>247</v>
      </c>
    </row>
    <row r="859" spans="1:5" x14ac:dyDescent="0.25">
      <c r="A859" s="13" t="s">
        <v>201</v>
      </c>
      <c r="B859" s="13" t="s">
        <v>568</v>
      </c>
      <c r="C859" s="13" t="s">
        <v>245</v>
      </c>
      <c r="D859" s="13">
        <v>3</v>
      </c>
      <c r="E859" s="13" t="s">
        <v>247</v>
      </c>
    </row>
    <row r="860" spans="1:5" x14ac:dyDescent="0.25">
      <c r="A860" s="13" t="s">
        <v>201</v>
      </c>
      <c r="B860" s="13" t="s">
        <v>568</v>
      </c>
      <c r="C860" s="13" t="s">
        <v>248</v>
      </c>
      <c r="D860" s="13">
        <v>2</v>
      </c>
      <c r="E860" s="13" t="s">
        <v>247</v>
      </c>
    </row>
    <row r="861" spans="1:5" x14ac:dyDescent="0.25">
      <c r="A861" s="13" t="s">
        <v>201</v>
      </c>
      <c r="B861" s="13" t="s">
        <v>568</v>
      </c>
      <c r="C861" s="13" t="s">
        <v>252</v>
      </c>
      <c r="D861" s="13">
        <v>1</v>
      </c>
      <c r="E861" s="13" t="s">
        <v>177</v>
      </c>
    </row>
    <row r="862" spans="1:5" x14ac:dyDescent="0.25">
      <c r="A862" s="13" t="s">
        <v>201</v>
      </c>
      <c r="B862" s="13" t="s">
        <v>569</v>
      </c>
      <c r="C862" s="13" t="s">
        <v>249</v>
      </c>
      <c r="D862" s="13">
        <v>6</v>
      </c>
      <c r="E862" s="13" t="s">
        <v>247</v>
      </c>
    </row>
    <row r="863" spans="1:5" x14ac:dyDescent="0.25">
      <c r="A863" s="13" t="s">
        <v>201</v>
      </c>
      <c r="B863" s="13" t="s">
        <v>569</v>
      </c>
      <c r="C863" s="13" t="s">
        <v>252</v>
      </c>
      <c r="D863" s="13">
        <v>2</v>
      </c>
      <c r="E863" s="13" t="s">
        <v>177</v>
      </c>
    </row>
    <row r="864" spans="1:5" x14ac:dyDescent="0.25">
      <c r="A864" s="13" t="s">
        <v>201</v>
      </c>
      <c r="B864" s="13" t="s">
        <v>569</v>
      </c>
      <c r="C864" s="13" t="s">
        <v>245</v>
      </c>
      <c r="D864" s="13">
        <v>2</v>
      </c>
      <c r="E864" s="13" t="s">
        <v>247</v>
      </c>
    </row>
    <row r="865" spans="1:5" x14ac:dyDescent="0.25">
      <c r="A865" s="13" t="s">
        <v>201</v>
      </c>
      <c r="B865" s="13" t="s">
        <v>570</v>
      </c>
      <c r="C865" s="13" t="s">
        <v>249</v>
      </c>
      <c r="D865" s="13">
        <v>4</v>
      </c>
      <c r="E865" s="13" t="s">
        <v>247</v>
      </c>
    </row>
    <row r="866" spans="1:5" x14ac:dyDescent="0.25">
      <c r="A866" s="13" t="s">
        <v>201</v>
      </c>
      <c r="B866" s="13" t="s">
        <v>570</v>
      </c>
      <c r="C866" s="13" t="s">
        <v>252</v>
      </c>
      <c r="D866" s="13">
        <v>2</v>
      </c>
      <c r="E866" s="13" t="s">
        <v>247</v>
      </c>
    </row>
    <row r="867" spans="1:5" x14ac:dyDescent="0.25">
      <c r="A867" s="13" t="s">
        <v>201</v>
      </c>
      <c r="B867" s="13" t="s">
        <v>570</v>
      </c>
      <c r="C867" s="13" t="s">
        <v>245</v>
      </c>
      <c r="D867" s="13">
        <v>2</v>
      </c>
      <c r="E867" s="13" t="s">
        <v>247</v>
      </c>
    </row>
    <row r="868" spans="1:5" x14ac:dyDescent="0.25">
      <c r="A868" s="13" t="s">
        <v>201</v>
      </c>
      <c r="B868" s="13" t="s">
        <v>570</v>
      </c>
      <c r="C868" s="13" t="s">
        <v>246</v>
      </c>
      <c r="D868" s="13">
        <v>5</v>
      </c>
      <c r="E868" s="13" t="s">
        <v>247</v>
      </c>
    </row>
    <row r="869" spans="1:5" x14ac:dyDescent="0.25">
      <c r="A869" s="13" t="s">
        <v>216</v>
      </c>
      <c r="B869" s="13" t="s">
        <v>571</v>
      </c>
      <c r="C869" s="13" t="s">
        <v>246</v>
      </c>
      <c r="D869" s="13">
        <v>2</v>
      </c>
      <c r="E869" s="13" t="s">
        <v>282</v>
      </c>
    </row>
    <row r="870" spans="1:5" x14ac:dyDescent="0.25">
      <c r="A870" s="13" t="s">
        <v>216</v>
      </c>
      <c r="B870" s="13" t="s">
        <v>572</v>
      </c>
      <c r="C870" s="13" t="s">
        <v>246</v>
      </c>
      <c r="D870" s="13">
        <v>3</v>
      </c>
      <c r="E870" s="13" t="s">
        <v>264</v>
      </c>
    </row>
    <row r="871" spans="1:5" x14ac:dyDescent="0.25">
      <c r="A871" s="13" t="s">
        <v>216</v>
      </c>
      <c r="B871" s="13" t="s">
        <v>573</v>
      </c>
      <c r="C871" s="13" t="s">
        <v>246</v>
      </c>
      <c r="D871" s="13">
        <v>1</v>
      </c>
      <c r="E871" s="13" t="s">
        <v>177</v>
      </c>
    </row>
    <row r="872" spans="1:5" x14ac:dyDescent="0.25">
      <c r="A872" s="13" t="s">
        <v>123</v>
      </c>
      <c r="B872" s="13" t="s">
        <v>574</v>
      </c>
      <c r="C872" s="13" t="s">
        <v>273</v>
      </c>
      <c r="D872" s="13">
        <v>2</v>
      </c>
      <c r="E872" s="13" t="s">
        <v>177</v>
      </c>
    </row>
    <row r="873" spans="1:5" x14ac:dyDescent="0.25">
      <c r="A873" s="13" t="s">
        <v>123</v>
      </c>
      <c r="B873" s="13" t="s">
        <v>574</v>
      </c>
      <c r="C873" s="13" t="s">
        <v>246</v>
      </c>
      <c r="D873" s="13">
        <v>3</v>
      </c>
      <c r="E873" s="13" t="s">
        <v>247</v>
      </c>
    </row>
    <row r="874" spans="1:5" x14ac:dyDescent="0.25">
      <c r="A874" s="13" t="s">
        <v>123</v>
      </c>
      <c r="B874" s="13" t="s">
        <v>574</v>
      </c>
      <c r="C874" s="13" t="s">
        <v>245</v>
      </c>
      <c r="D874" s="13">
        <v>2</v>
      </c>
      <c r="E874" s="13" t="s">
        <v>247</v>
      </c>
    </row>
    <row r="875" spans="1:5" x14ac:dyDescent="0.25">
      <c r="A875" s="13" t="s">
        <v>123</v>
      </c>
      <c r="B875" s="13" t="s">
        <v>574</v>
      </c>
      <c r="C875" s="13" t="s">
        <v>280</v>
      </c>
      <c r="D875" s="13">
        <v>1</v>
      </c>
      <c r="E875" s="13" t="s">
        <v>177</v>
      </c>
    </row>
    <row r="876" spans="1:5" x14ac:dyDescent="0.25">
      <c r="A876" s="13" t="s">
        <v>123</v>
      </c>
      <c r="B876" s="13" t="s">
        <v>574</v>
      </c>
      <c r="C876" s="13" t="s">
        <v>249</v>
      </c>
      <c r="D876" s="13">
        <v>1</v>
      </c>
      <c r="E876" s="13" t="s">
        <v>247</v>
      </c>
    </row>
    <row r="877" spans="1:5" x14ac:dyDescent="0.25">
      <c r="A877" s="13" t="s">
        <v>123</v>
      </c>
      <c r="B877" s="13" t="s">
        <v>574</v>
      </c>
      <c r="C877" s="13" t="s">
        <v>325</v>
      </c>
      <c r="D877" s="13">
        <v>1</v>
      </c>
      <c r="E877" s="13" t="s">
        <v>247</v>
      </c>
    </row>
    <row r="878" spans="1:5" x14ac:dyDescent="0.25">
      <c r="A878" s="13" t="s">
        <v>123</v>
      </c>
      <c r="B878" s="13" t="s">
        <v>574</v>
      </c>
      <c r="C878" s="13" t="s">
        <v>348</v>
      </c>
      <c r="D878" s="13">
        <v>1</v>
      </c>
      <c r="E878" s="13" t="s">
        <v>247</v>
      </c>
    </row>
    <row r="879" spans="1:5" x14ac:dyDescent="0.25">
      <c r="A879" s="13" t="s">
        <v>123</v>
      </c>
      <c r="B879" s="13" t="s">
        <v>575</v>
      </c>
      <c r="C879" s="13" t="s">
        <v>273</v>
      </c>
      <c r="D879" s="13">
        <v>3</v>
      </c>
      <c r="E879" s="13" t="s">
        <v>264</v>
      </c>
    </row>
    <row r="880" spans="1:5" x14ac:dyDescent="0.25">
      <c r="A880" s="13" t="s">
        <v>123</v>
      </c>
      <c r="B880" s="13" t="s">
        <v>575</v>
      </c>
      <c r="C880" s="13" t="s">
        <v>249</v>
      </c>
      <c r="D880" s="13">
        <v>2</v>
      </c>
      <c r="E880" s="13" t="s">
        <v>271</v>
      </c>
    </row>
    <row r="881" spans="1:5" x14ac:dyDescent="0.25">
      <c r="A881" s="13" t="s">
        <v>123</v>
      </c>
      <c r="B881" s="13" t="s">
        <v>575</v>
      </c>
      <c r="C881" s="13" t="s">
        <v>319</v>
      </c>
      <c r="D881" s="13">
        <v>1</v>
      </c>
      <c r="E881" s="13" t="s">
        <v>279</v>
      </c>
    </row>
    <row r="882" spans="1:5" x14ac:dyDescent="0.25">
      <c r="A882" s="13" t="s">
        <v>123</v>
      </c>
      <c r="B882" s="13" t="s">
        <v>575</v>
      </c>
      <c r="C882" s="13" t="s">
        <v>280</v>
      </c>
      <c r="D882" s="13">
        <v>2</v>
      </c>
      <c r="E882" s="13" t="s">
        <v>264</v>
      </c>
    </row>
    <row r="883" spans="1:5" x14ac:dyDescent="0.25">
      <c r="A883" s="13" t="s">
        <v>123</v>
      </c>
      <c r="B883" s="13" t="s">
        <v>575</v>
      </c>
      <c r="C883" s="13" t="s">
        <v>566</v>
      </c>
      <c r="D883" s="13">
        <v>1</v>
      </c>
      <c r="E883" s="13" t="s">
        <v>279</v>
      </c>
    </row>
    <row r="884" spans="1:5" x14ac:dyDescent="0.25">
      <c r="A884" s="13" t="s">
        <v>123</v>
      </c>
      <c r="B884" s="13" t="s">
        <v>575</v>
      </c>
      <c r="C884" s="13" t="s">
        <v>245</v>
      </c>
      <c r="D884" s="13">
        <v>1</v>
      </c>
      <c r="E884" s="13" t="s">
        <v>247</v>
      </c>
    </row>
    <row r="885" spans="1:5" x14ac:dyDescent="0.25">
      <c r="A885" s="13" t="s">
        <v>123</v>
      </c>
      <c r="B885" s="13" t="s">
        <v>575</v>
      </c>
      <c r="C885" s="13" t="s">
        <v>348</v>
      </c>
      <c r="D885" s="13">
        <v>1</v>
      </c>
      <c r="E885" s="13" t="s">
        <v>271</v>
      </c>
    </row>
    <row r="886" spans="1:5" x14ac:dyDescent="0.25">
      <c r="A886" s="13" t="s">
        <v>123</v>
      </c>
      <c r="B886" s="13" t="s">
        <v>576</v>
      </c>
      <c r="C886" s="13" t="s">
        <v>245</v>
      </c>
      <c r="D886" s="13">
        <v>3</v>
      </c>
      <c r="E886" s="13" t="s">
        <v>247</v>
      </c>
    </row>
    <row r="887" spans="1:5" x14ac:dyDescent="0.25">
      <c r="A887" s="13" t="s">
        <v>123</v>
      </c>
      <c r="B887" s="13" t="s">
        <v>576</v>
      </c>
      <c r="C887" s="13" t="s">
        <v>278</v>
      </c>
      <c r="D887" s="13">
        <v>2</v>
      </c>
      <c r="E887" s="13" t="s">
        <v>177</v>
      </c>
    </row>
    <row r="888" spans="1:5" x14ac:dyDescent="0.25">
      <c r="A888" s="13" t="s">
        <v>123</v>
      </c>
      <c r="B888" s="13" t="s">
        <v>576</v>
      </c>
      <c r="C888" s="13" t="s">
        <v>566</v>
      </c>
      <c r="D888" s="13">
        <v>2</v>
      </c>
      <c r="E888" s="13" t="s">
        <v>271</v>
      </c>
    </row>
    <row r="889" spans="1:5" x14ac:dyDescent="0.25">
      <c r="A889" s="13" t="s">
        <v>123</v>
      </c>
      <c r="B889" s="13" t="s">
        <v>576</v>
      </c>
      <c r="C889" s="13" t="s">
        <v>249</v>
      </c>
      <c r="D889" s="13">
        <v>3</v>
      </c>
      <c r="E889" s="13" t="s">
        <v>282</v>
      </c>
    </row>
    <row r="890" spans="1:5" x14ac:dyDescent="0.25">
      <c r="A890" s="13" t="s">
        <v>123</v>
      </c>
      <c r="B890" s="13" t="s">
        <v>576</v>
      </c>
      <c r="C890" s="13" t="s">
        <v>259</v>
      </c>
      <c r="D890" s="13">
        <v>1</v>
      </c>
      <c r="E890" s="13" t="s">
        <v>271</v>
      </c>
    </row>
    <row r="891" spans="1:5" x14ac:dyDescent="0.25">
      <c r="A891" s="13" t="s">
        <v>123</v>
      </c>
      <c r="B891" s="13" t="s">
        <v>576</v>
      </c>
      <c r="C891" s="13" t="s">
        <v>280</v>
      </c>
      <c r="D891" s="13">
        <v>2</v>
      </c>
      <c r="E891" s="13" t="s">
        <v>247</v>
      </c>
    </row>
    <row r="892" spans="1:5" x14ac:dyDescent="0.25">
      <c r="A892" s="13" t="s">
        <v>123</v>
      </c>
      <c r="B892" s="13" t="s">
        <v>576</v>
      </c>
      <c r="C892" s="13" t="s">
        <v>252</v>
      </c>
      <c r="D892" s="13">
        <v>2</v>
      </c>
      <c r="E892" s="13" t="s">
        <v>271</v>
      </c>
    </row>
    <row r="893" spans="1:5" x14ac:dyDescent="0.25">
      <c r="A893" s="13" t="s">
        <v>123</v>
      </c>
      <c r="B893" s="13" t="s">
        <v>576</v>
      </c>
      <c r="C893" s="13" t="s">
        <v>254</v>
      </c>
      <c r="D893" s="13">
        <v>1</v>
      </c>
      <c r="E893" s="13" t="s">
        <v>279</v>
      </c>
    </row>
    <row r="894" spans="1:5" x14ac:dyDescent="0.25">
      <c r="A894" s="13" t="s">
        <v>123</v>
      </c>
      <c r="B894" s="13" t="s">
        <v>576</v>
      </c>
      <c r="C894" s="13" t="s">
        <v>246</v>
      </c>
      <c r="D894" s="13">
        <v>1</v>
      </c>
      <c r="E894" s="13" t="s">
        <v>271</v>
      </c>
    </row>
    <row r="895" spans="1:5" x14ac:dyDescent="0.25">
      <c r="A895" s="13" t="s">
        <v>123</v>
      </c>
      <c r="B895" s="13" t="s">
        <v>576</v>
      </c>
      <c r="C895" s="13" t="s">
        <v>274</v>
      </c>
      <c r="D895" s="13">
        <v>3</v>
      </c>
      <c r="E895" s="13" t="s">
        <v>282</v>
      </c>
    </row>
    <row r="896" spans="1:5" x14ac:dyDescent="0.25">
      <c r="A896" s="13" t="s">
        <v>123</v>
      </c>
      <c r="B896" s="13" t="s">
        <v>576</v>
      </c>
      <c r="C896" s="13" t="s">
        <v>348</v>
      </c>
      <c r="D896" s="13">
        <v>1</v>
      </c>
      <c r="E896" s="13" t="s">
        <v>247</v>
      </c>
    </row>
    <row r="897" spans="1:5" x14ac:dyDescent="0.25">
      <c r="A897" s="13" t="s">
        <v>123</v>
      </c>
      <c r="B897" s="13" t="s">
        <v>576</v>
      </c>
      <c r="C897" s="13" t="s">
        <v>577</v>
      </c>
      <c r="D897" s="13">
        <v>1</v>
      </c>
      <c r="E897" s="13" t="s">
        <v>279</v>
      </c>
    </row>
    <row r="898" spans="1:5" x14ac:dyDescent="0.25">
      <c r="A898" s="13" t="s">
        <v>123</v>
      </c>
      <c r="B898" s="13" t="s">
        <v>576</v>
      </c>
      <c r="C898" s="13" t="s">
        <v>319</v>
      </c>
      <c r="D898" s="13">
        <v>1</v>
      </c>
      <c r="E898" s="13" t="s">
        <v>264</v>
      </c>
    </row>
    <row r="899" spans="1:5" x14ac:dyDescent="0.25">
      <c r="A899" s="13" t="s">
        <v>123</v>
      </c>
      <c r="B899" s="13" t="s">
        <v>576</v>
      </c>
      <c r="C899" s="13" t="s">
        <v>578</v>
      </c>
      <c r="D899" s="13">
        <v>1</v>
      </c>
      <c r="E899" s="13" t="s">
        <v>247</v>
      </c>
    </row>
    <row r="900" spans="1:5" x14ac:dyDescent="0.25">
      <c r="A900" s="13" t="s">
        <v>234</v>
      </c>
      <c r="B900" s="13" t="s">
        <v>579</v>
      </c>
      <c r="C900" s="13" t="s">
        <v>245</v>
      </c>
      <c r="D900" s="13">
        <v>4</v>
      </c>
      <c r="E900" s="13" t="s">
        <v>264</v>
      </c>
    </row>
    <row r="901" spans="1:5" x14ac:dyDescent="0.25">
      <c r="A901" s="13" t="s">
        <v>234</v>
      </c>
      <c r="B901" s="13" t="s">
        <v>579</v>
      </c>
      <c r="C901" s="13" t="s">
        <v>252</v>
      </c>
      <c r="D901" s="13">
        <v>1</v>
      </c>
      <c r="E901" s="13" t="s">
        <v>247</v>
      </c>
    </row>
    <row r="902" spans="1:5" x14ac:dyDescent="0.25">
      <c r="A902" s="13" t="s">
        <v>234</v>
      </c>
      <c r="B902" s="13" t="s">
        <v>579</v>
      </c>
      <c r="C902" s="13" t="s">
        <v>254</v>
      </c>
      <c r="D902" s="13">
        <v>2</v>
      </c>
      <c r="E902" s="13" t="s">
        <v>271</v>
      </c>
    </row>
    <row r="903" spans="1:5" x14ac:dyDescent="0.25">
      <c r="A903" s="13" t="s">
        <v>234</v>
      </c>
      <c r="B903" s="13" t="s">
        <v>579</v>
      </c>
      <c r="C903" s="13" t="s">
        <v>278</v>
      </c>
      <c r="D903" s="13">
        <v>1</v>
      </c>
      <c r="E903" s="13" t="s">
        <v>247</v>
      </c>
    </row>
    <row r="904" spans="1:5" x14ac:dyDescent="0.25">
      <c r="A904" s="13" t="s">
        <v>234</v>
      </c>
      <c r="B904" s="13" t="s">
        <v>579</v>
      </c>
      <c r="C904" s="13" t="s">
        <v>246</v>
      </c>
      <c r="D904" s="13">
        <v>1</v>
      </c>
      <c r="E904" s="13" t="s">
        <v>271</v>
      </c>
    </row>
    <row r="905" spans="1:5" x14ac:dyDescent="0.25">
      <c r="A905" s="13" t="s">
        <v>234</v>
      </c>
      <c r="B905" s="13" t="s">
        <v>580</v>
      </c>
      <c r="C905" s="13" t="s">
        <v>334</v>
      </c>
      <c r="D905" s="13">
        <v>2</v>
      </c>
      <c r="E905" s="13" t="s">
        <v>271</v>
      </c>
    </row>
    <row r="906" spans="1:5" x14ac:dyDescent="0.25">
      <c r="A906" s="13" t="s">
        <v>234</v>
      </c>
      <c r="B906" s="13" t="s">
        <v>580</v>
      </c>
      <c r="C906" s="13" t="s">
        <v>245</v>
      </c>
      <c r="D906" s="13">
        <v>3</v>
      </c>
      <c r="E906" s="13" t="s">
        <v>271</v>
      </c>
    </row>
    <row r="907" spans="1:5" x14ac:dyDescent="0.25">
      <c r="A907" s="13" t="s">
        <v>234</v>
      </c>
      <c r="B907" s="13" t="s">
        <v>580</v>
      </c>
      <c r="C907" s="13" t="s">
        <v>252</v>
      </c>
      <c r="D907" s="13">
        <v>1</v>
      </c>
      <c r="E907" s="13" t="s">
        <v>177</v>
      </c>
    </row>
    <row r="908" spans="1:5" x14ac:dyDescent="0.25">
      <c r="A908" s="13" t="s">
        <v>234</v>
      </c>
      <c r="B908" s="13" t="s">
        <v>580</v>
      </c>
      <c r="C908" s="13" t="s">
        <v>319</v>
      </c>
      <c r="D908" s="13">
        <v>1</v>
      </c>
      <c r="E908" s="13" t="s">
        <v>264</v>
      </c>
    </row>
    <row r="909" spans="1:5" x14ac:dyDescent="0.25">
      <c r="A909" s="13" t="s">
        <v>234</v>
      </c>
      <c r="B909" s="13" t="s">
        <v>580</v>
      </c>
      <c r="C909" s="13" t="s">
        <v>322</v>
      </c>
      <c r="D909" s="13">
        <v>1</v>
      </c>
      <c r="E909" s="13" t="s">
        <v>177</v>
      </c>
    </row>
    <row r="910" spans="1:5" x14ac:dyDescent="0.25">
      <c r="A910" s="13" t="s">
        <v>234</v>
      </c>
      <c r="B910" s="13" t="s">
        <v>580</v>
      </c>
      <c r="C910" s="13" t="s">
        <v>280</v>
      </c>
      <c r="D910" s="13">
        <v>1</v>
      </c>
      <c r="E910" s="13" t="s">
        <v>247</v>
      </c>
    </row>
    <row r="911" spans="1:5" x14ac:dyDescent="0.25">
      <c r="A911" s="13" t="s">
        <v>234</v>
      </c>
      <c r="B911" s="13" t="s">
        <v>580</v>
      </c>
      <c r="C911" s="13" t="s">
        <v>254</v>
      </c>
      <c r="D911" s="13">
        <v>1</v>
      </c>
      <c r="E911" s="13" t="s">
        <v>177</v>
      </c>
    </row>
    <row r="912" spans="1:5" x14ac:dyDescent="0.25">
      <c r="A912" s="13" t="s">
        <v>234</v>
      </c>
      <c r="B912" s="13" t="s">
        <v>581</v>
      </c>
      <c r="C912" s="13" t="s">
        <v>280</v>
      </c>
      <c r="D912" s="13">
        <v>2</v>
      </c>
      <c r="E912" s="13" t="s">
        <v>264</v>
      </c>
    </row>
    <row r="913" spans="1:5" x14ac:dyDescent="0.25">
      <c r="A913" s="13" t="s">
        <v>234</v>
      </c>
      <c r="B913" s="13" t="s">
        <v>581</v>
      </c>
      <c r="C913" s="13" t="s">
        <v>245</v>
      </c>
      <c r="D913" s="13">
        <v>2</v>
      </c>
      <c r="E913" s="13" t="s">
        <v>264</v>
      </c>
    </row>
    <row r="914" spans="1:5" x14ac:dyDescent="0.25">
      <c r="A914" s="13" t="s">
        <v>234</v>
      </c>
      <c r="B914" s="13" t="s">
        <v>581</v>
      </c>
      <c r="C914" s="13" t="s">
        <v>252</v>
      </c>
      <c r="D914" s="13">
        <v>1</v>
      </c>
      <c r="E914" s="13" t="s">
        <v>177</v>
      </c>
    </row>
    <row r="915" spans="1:5" x14ac:dyDescent="0.25">
      <c r="A915" s="13" t="s">
        <v>234</v>
      </c>
      <c r="B915" s="13" t="s">
        <v>581</v>
      </c>
      <c r="C915" s="13" t="s">
        <v>278</v>
      </c>
      <c r="D915" s="13">
        <v>2</v>
      </c>
      <c r="E915" s="13" t="s">
        <v>247</v>
      </c>
    </row>
    <row r="916" spans="1:5" x14ac:dyDescent="0.25">
      <c r="A916" s="13" t="s">
        <v>234</v>
      </c>
      <c r="B916" s="13" t="s">
        <v>581</v>
      </c>
      <c r="C916" s="13" t="s">
        <v>319</v>
      </c>
      <c r="D916" s="13">
        <v>3</v>
      </c>
      <c r="E916" s="13" t="s">
        <v>177</v>
      </c>
    </row>
    <row r="917" spans="1:5" x14ac:dyDescent="0.25">
      <c r="A917" s="13" t="s">
        <v>196</v>
      </c>
      <c r="B917" s="13" t="s">
        <v>582</v>
      </c>
      <c r="C917" s="13" t="s">
        <v>246</v>
      </c>
      <c r="D917" s="13">
        <v>1</v>
      </c>
      <c r="E917" s="13" t="s">
        <v>271</v>
      </c>
    </row>
    <row r="918" spans="1:5" x14ac:dyDescent="0.25">
      <c r="A918" s="13" t="s">
        <v>196</v>
      </c>
      <c r="B918" s="13" t="s">
        <v>582</v>
      </c>
      <c r="C918" s="13" t="s">
        <v>334</v>
      </c>
      <c r="D918" s="13">
        <v>1</v>
      </c>
      <c r="E918" s="13" t="s">
        <v>279</v>
      </c>
    </row>
    <row r="919" spans="1:5" x14ac:dyDescent="0.25">
      <c r="A919" s="13" t="s">
        <v>196</v>
      </c>
      <c r="B919" s="13" t="s">
        <v>583</v>
      </c>
      <c r="C919" s="13" t="s">
        <v>246</v>
      </c>
      <c r="D919" s="13">
        <v>1</v>
      </c>
      <c r="E919" s="13" t="s">
        <v>247</v>
      </c>
    </row>
    <row r="920" spans="1:5" x14ac:dyDescent="0.25">
      <c r="A920" s="13" t="s">
        <v>196</v>
      </c>
      <c r="B920" s="13" t="s">
        <v>584</v>
      </c>
      <c r="C920" s="13" t="s">
        <v>246</v>
      </c>
      <c r="D920" s="13">
        <v>2</v>
      </c>
      <c r="E920" s="13" t="s">
        <v>282</v>
      </c>
    </row>
    <row r="921" spans="1:5" x14ac:dyDescent="0.25">
      <c r="A921" s="13" t="s">
        <v>122</v>
      </c>
      <c r="B921" s="13" t="s">
        <v>585</v>
      </c>
      <c r="C921" s="13" t="s">
        <v>246</v>
      </c>
      <c r="D921" s="13">
        <v>3</v>
      </c>
      <c r="E921" s="13" t="s">
        <v>247</v>
      </c>
    </row>
    <row r="922" spans="1:5" x14ac:dyDescent="0.25">
      <c r="A922" s="13" t="s">
        <v>122</v>
      </c>
      <c r="B922" s="13" t="s">
        <v>585</v>
      </c>
      <c r="C922" s="13" t="s">
        <v>273</v>
      </c>
      <c r="D922" s="13">
        <v>2</v>
      </c>
      <c r="E922" s="13" t="s">
        <v>264</v>
      </c>
    </row>
    <row r="923" spans="1:5" x14ac:dyDescent="0.25">
      <c r="A923" s="13" t="s">
        <v>122</v>
      </c>
      <c r="B923" s="13" t="s">
        <v>585</v>
      </c>
      <c r="C923" s="13" t="s">
        <v>249</v>
      </c>
      <c r="D923" s="13">
        <v>1</v>
      </c>
      <c r="E923" s="13" t="s">
        <v>271</v>
      </c>
    </row>
    <row r="924" spans="1:5" x14ac:dyDescent="0.25">
      <c r="A924" s="13" t="s">
        <v>122</v>
      </c>
      <c r="B924" s="13" t="s">
        <v>585</v>
      </c>
      <c r="C924" s="13" t="s">
        <v>254</v>
      </c>
      <c r="D924" s="13">
        <v>2</v>
      </c>
      <c r="E924" s="13" t="s">
        <v>264</v>
      </c>
    </row>
    <row r="925" spans="1:5" x14ac:dyDescent="0.25">
      <c r="A925" s="13" t="s">
        <v>122</v>
      </c>
      <c r="B925" s="13" t="s">
        <v>585</v>
      </c>
      <c r="C925" s="13" t="s">
        <v>253</v>
      </c>
      <c r="D925" s="13">
        <v>1</v>
      </c>
      <c r="E925" s="13" t="s">
        <v>282</v>
      </c>
    </row>
    <row r="926" spans="1:5" x14ac:dyDescent="0.25">
      <c r="A926" s="13" t="s">
        <v>122</v>
      </c>
      <c r="B926" s="13" t="s">
        <v>586</v>
      </c>
      <c r="C926" s="13" t="s">
        <v>246</v>
      </c>
      <c r="D926" s="13">
        <v>4</v>
      </c>
      <c r="E926" s="13" t="s">
        <v>247</v>
      </c>
    </row>
    <row r="927" spans="1:5" x14ac:dyDescent="0.25">
      <c r="A927" s="13" t="s">
        <v>122</v>
      </c>
      <c r="B927" s="13" t="s">
        <v>586</v>
      </c>
      <c r="C927" s="13" t="s">
        <v>254</v>
      </c>
      <c r="D927" s="13">
        <v>2</v>
      </c>
      <c r="E927" s="13" t="s">
        <v>264</v>
      </c>
    </row>
    <row r="928" spans="1:5" x14ac:dyDescent="0.25">
      <c r="A928" s="13" t="s">
        <v>122</v>
      </c>
      <c r="B928" s="13" t="s">
        <v>586</v>
      </c>
      <c r="C928" s="13" t="s">
        <v>273</v>
      </c>
      <c r="D928" s="13">
        <v>1</v>
      </c>
      <c r="E928" s="13" t="s">
        <v>264</v>
      </c>
    </row>
    <row r="929" spans="1:5" x14ac:dyDescent="0.25">
      <c r="A929" s="13" t="s">
        <v>122</v>
      </c>
      <c r="B929" s="13" t="s">
        <v>586</v>
      </c>
      <c r="C929" s="13" t="s">
        <v>249</v>
      </c>
      <c r="D929" s="13">
        <v>1</v>
      </c>
      <c r="E929" s="13" t="s">
        <v>279</v>
      </c>
    </row>
    <row r="930" spans="1:5" x14ac:dyDescent="0.25">
      <c r="A930" s="13" t="s">
        <v>122</v>
      </c>
      <c r="B930" s="13" t="s">
        <v>587</v>
      </c>
      <c r="C930" s="13" t="s">
        <v>246</v>
      </c>
      <c r="D930" s="13">
        <v>2</v>
      </c>
      <c r="E930" s="13" t="s">
        <v>247</v>
      </c>
    </row>
    <row r="931" spans="1:5" x14ac:dyDescent="0.25">
      <c r="A931" s="13" t="s">
        <v>122</v>
      </c>
      <c r="B931" s="13" t="s">
        <v>587</v>
      </c>
      <c r="C931" s="13" t="s">
        <v>254</v>
      </c>
      <c r="D931" s="13">
        <v>2</v>
      </c>
      <c r="E931" s="13" t="s">
        <v>247</v>
      </c>
    </row>
    <row r="932" spans="1:5" x14ac:dyDescent="0.25">
      <c r="A932" s="13" t="s">
        <v>122</v>
      </c>
      <c r="B932" s="13" t="s">
        <v>587</v>
      </c>
      <c r="C932" s="13" t="s">
        <v>273</v>
      </c>
      <c r="D932" s="13">
        <v>3</v>
      </c>
      <c r="E932" s="13" t="s">
        <v>264</v>
      </c>
    </row>
    <row r="933" spans="1:5" x14ac:dyDescent="0.25">
      <c r="A933" s="13" t="s">
        <v>122</v>
      </c>
      <c r="B933" s="13" t="s">
        <v>587</v>
      </c>
      <c r="C933" s="13" t="s">
        <v>249</v>
      </c>
      <c r="D933" s="13">
        <v>2</v>
      </c>
      <c r="E933" s="13" t="s">
        <v>271</v>
      </c>
    </row>
    <row r="934" spans="1:5" x14ac:dyDescent="0.25">
      <c r="A934" s="13" t="s">
        <v>122</v>
      </c>
      <c r="B934" s="13" t="s">
        <v>587</v>
      </c>
      <c r="C934" s="13" t="s">
        <v>280</v>
      </c>
      <c r="D934" s="13">
        <v>1</v>
      </c>
      <c r="E934" s="13" t="s">
        <v>279</v>
      </c>
    </row>
    <row r="935" spans="1:5" x14ac:dyDescent="0.25">
      <c r="A935" s="13" t="s">
        <v>125</v>
      </c>
      <c r="B935" s="13" t="s">
        <v>588</v>
      </c>
      <c r="C935" s="13" t="s">
        <v>332</v>
      </c>
      <c r="D935" s="13">
        <v>1</v>
      </c>
      <c r="E935" s="13" t="s">
        <v>282</v>
      </c>
    </row>
    <row r="936" spans="1:5" x14ac:dyDescent="0.25">
      <c r="A936" s="13" t="s">
        <v>125</v>
      </c>
      <c r="B936" s="13" t="s">
        <v>588</v>
      </c>
      <c r="C936" s="13" t="s">
        <v>246</v>
      </c>
      <c r="D936" s="13">
        <v>2</v>
      </c>
      <c r="E936" s="13" t="s">
        <v>271</v>
      </c>
    </row>
    <row r="937" spans="1:5" x14ac:dyDescent="0.25">
      <c r="A937" s="13" t="s">
        <v>125</v>
      </c>
      <c r="B937" s="13" t="s">
        <v>588</v>
      </c>
      <c r="C937" s="13" t="s">
        <v>249</v>
      </c>
      <c r="D937" s="13">
        <v>1</v>
      </c>
      <c r="E937" s="13" t="s">
        <v>247</v>
      </c>
    </row>
    <row r="938" spans="1:5" x14ac:dyDescent="0.25">
      <c r="A938" s="13" t="s">
        <v>125</v>
      </c>
      <c r="B938" s="13" t="s">
        <v>589</v>
      </c>
      <c r="C938" s="13" t="s">
        <v>246</v>
      </c>
      <c r="D938" s="13">
        <v>2</v>
      </c>
      <c r="E938" s="13" t="s">
        <v>177</v>
      </c>
    </row>
    <row r="939" spans="1:5" x14ac:dyDescent="0.25">
      <c r="A939" s="13" t="s">
        <v>125</v>
      </c>
      <c r="B939" s="13" t="s">
        <v>589</v>
      </c>
      <c r="C939" s="13" t="s">
        <v>253</v>
      </c>
      <c r="D939" s="13">
        <v>1</v>
      </c>
      <c r="E939" s="13" t="s">
        <v>247</v>
      </c>
    </row>
    <row r="940" spans="1:5" x14ac:dyDescent="0.25">
      <c r="A940" s="13" t="s">
        <v>125</v>
      </c>
      <c r="B940" s="13" t="s">
        <v>589</v>
      </c>
      <c r="C940" s="13" t="s">
        <v>325</v>
      </c>
      <c r="D940" s="13">
        <v>1</v>
      </c>
      <c r="E940" s="13" t="s">
        <v>282</v>
      </c>
    </row>
    <row r="941" spans="1:5" x14ac:dyDescent="0.25">
      <c r="A941" s="13" t="s">
        <v>125</v>
      </c>
      <c r="B941" s="13" t="s">
        <v>589</v>
      </c>
      <c r="C941" s="13" t="s">
        <v>273</v>
      </c>
      <c r="D941" s="13">
        <v>1</v>
      </c>
      <c r="E941" s="13" t="s">
        <v>264</v>
      </c>
    </row>
    <row r="942" spans="1:5" x14ac:dyDescent="0.25">
      <c r="A942" s="13" t="s">
        <v>125</v>
      </c>
      <c r="B942" s="13" t="s">
        <v>590</v>
      </c>
      <c r="C942" s="13" t="s">
        <v>332</v>
      </c>
      <c r="D942" s="13">
        <v>2</v>
      </c>
      <c r="E942" s="13" t="s">
        <v>177</v>
      </c>
    </row>
    <row r="943" spans="1:5" x14ac:dyDescent="0.25">
      <c r="A943" s="13" t="s">
        <v>125</v>
      </c>
      <c r="B943" s="13" t="s">
        <v>590</v>
      </c>
      <c r="C943" s="13" t="s">
        <v>246</v>
      </c>
      <c r="D943" s="13">
        <v>3</v>
      </c>
      <c r="E943" s="13" t="s">
        <v>264</v>
      </c>
    </row>
    <row r="944" spans="1:5" x14ac:dyDescent="0.25">
      <c r="A944" s="13" t="s">
        <v>131</v>
      </c>
      <c r="B944" s="13" t="s">
        <v>591</v>
      </c>
      <c r="C944" s="13" t="s">
        <v>332</v>
      </c>
      <c r="D944" s="13">
        <v>2</v>
      </c>
      <c r="E944" s="13" t="s">
        <v>282</v>
      </c>
    </row>
    <row r="945" spans="1:5" x14ac:dyDescent="0.25">
      <c r="A945" s="13" t="s">
        <v>131</v>
      </c>
      <c r="B945" s="13" t="s">
        <v>592</v>
      </c>
      <c r="C945" s="13" t="s">
        <v>332</v>
      </c>
      <c r="D945" s="13">
        <v>2</v>
      </c>
      <c r="E945" s="13" t="s">
        <v>279</v>
      </c>
    </row>
    <row r="946" spans="1:5" x14ac:dyDescent="0.25">
      <c r="A946" s="13" t="s">
        <v>131</v>
      </c>
      <c r="B946" s="13" t="s">
        <v>593</v>
      </c>
      <c r="C946" s="13" t="s">
        <v>332</v>
      </c>
      <c r="D946" s="13">
        <v>2</v>
      </c>
      <c r="E946" s="13" t="s">
        <v>279</v>
      </c>
    </row>
    <row r="947" spans="1:5" x14ac:dyDescent="0.25">
      <c r="A947" s="13" t="s">
        <v>131</v>
      </c>
      <c r="B947" s="13" t="s">
        <v>593</v>
      </c>
      <c r="C947" s="13" t="s">
        <v>246</v>
      </c>
      <c r="D947" s="13">
        <v>2</v>
      </c>
      <c r="E947" s="13" t="s">
        <v>247</v>
      </c>
    </row>
    <row r="948" spans="1:5" x14ac:dyDescent="0.25">
      <c r="A948" s="13" t="s">
        <v>132</v>
      </c>
      <c r="B948" s="13" t="s">
        <v>594</v>
      </c>
      <c r="C948" s="13" t="s">
        <v>249</v>
      </c>
      <c r="D948" s="13">
        <v>2</v>
      </c>
      <c r="E948" s="13" t="s">
        <v>271</v>
      </c>
    </row>
    <row r="949" spans="1:5" x14ac:dyDescent="0.25">
      <c r="A949" s="13" t="s">
        <v>132</v>
      </c>
      <c r="B949" s="13" t="s">
        <v>595</v>
      </c>
      <c r="C949" s="13" t="s">
        <v>246</v>
      </c>
      <c r="D949" s="13">
        <v>1</v>
      </c>
      <c r="E949" s="13" t="s">
        <v>282</v>
      </c>
    </row>
    <row r="950" spans="1:5" x14ac:dyDescent="0.25">
      <c r="A950" s="13" t="s">
        <v>132</v>
      </c>
      <c r="B950" s="13" t="s">
        <v>595</v>
      </c>
      <c r="C950" s="13" t="s">
        <v>249</v>
      </c>
      <c r="D950" s="13">
        <v>2</v>
      </c>
      <c r="E950" s="13" t="s">
        <v>177</v>
      </c>
    </row>
    <row r="951" spans="1:5" x14ac:dyDescent="0.25">
      <c r="A951" s="13" t="s">
        <v>132</v>
      </c>
      <c r="B951" s="13" t="s">
        <v>596</v>
      </c>
      <c r="C951" s="13" t="s">
        <v>249</v>
      </c>
      <c r="D951" s="13">
        <v>3</v>
      </c>
      <c r="E951" s="13" t="s">
        <v>279</v>
      </c>
    </row>
    <row r="952" spans="1:5" x14ac:dyDescent="0.25">
      <c r="A952" s="13" t="s">
        <v>198</v>
      </c>
      <c r="B952" s="13" t="s">
        <v>597</v>
      </c>
      <c r="C952" s="13" t="s">
        <v>274</v>
      </c>
      <c r="D952" s="13">
        <v>6</v>
      </c>
      <c r="E952" s="13" t="s">
        <v>279</v>
      </c>
    </row>
    <row r="953" spans="1:5" x14ac:dyDescent="0.25">
      <c r="A953" s="13" t="s">
        <v>198</v>
      </c>
      <c r="B953" s="13" t="s">
        <v>597</v>
      </c>
      <c r="C953" s="13" t="s">
        <v>246</v>
      </c>
      <c r="D953" s="13">
        <v>2</v>
      </c>
      <c r="E953" s="13" t="s">
        <v>264</v>
      </c>
    </row>
    <row r="954" spans="1:5" x14ac:dyDescent="0.25">
      <c r="A954" s="13" t="s">
        <v>198</v>
      </c>
      <c r="B954" s="13" t="s">
        <v>597</v>
      </c>
      <c r="C954" s="13" t="s">
        <v>259</v>
      </c>
      <c r="D954" s="13">
        <v>1</v>
      </c>
      <c r="E954" s="13" t="s">
        <v>282</v>
      </c>
    </row>
    <row r="955" spans="1:5" x14ac:dyDescent="0.25">
      <c r="A955" s="13" t="s">
        <v>198</v>
      </c>
      <c r="B955" s="13" t="s">
        <v>597</v>
      </c>
      <c r="C955" s="13" t="s">
        <v>334</v>
      </c>
      <c r="D955" s="13">
        <v>1</v>
      </c>
      <c r="E955" s="13" t="s">
        <v>282</v>
      </c>
    </row>
    <row r="956" spans="1:5" x14ac:dyDescent="0.25">
      <c r="A956" s="13" t="s">
        <v>198</v>
      </c>
      <c r="B956" s="13" t="s">
        <v>597</v>
      </c>
      <c r="C956" s="13" t="s">
        <v>269</v>
      </c>
      <c r="D956" s="13">
        <v>2</v>
      </c>
      <c r="E956" s="13" t="s">
        <v>282</v>
      </c>
    </row>
    <row r="957" spans="1:5" x14ac:dyDescent="0.25">
      <c r="A957" s="13" t="s">
        <v>198</v>
      </c>
      <c r="B957" s="13" t="s">
        <v>598</v>
      </c>
      <c r="C957" s="13" t="s">
        <v>274</v>
      </c>
      <c r="D957" s="13">
        <v>4</v>
      </c>
      <c r="E957" s="13" t="s">
        <v>282</v>
      </c>
    </row>
    <row r="958" spans="1:5" x14ac:dyDescent="0.25">
      <c r="A958" s="13" t="s">
        <v>198</v>
      </c>
      <c r="B958" s="13" t="s">
        <v>598</v>
      </c>
      <c r="C958" s="13" t="s">
        <v>259</v>
      </c>
      <c r="D958" s="13">
        <v>2</v>
      </c>
      <c r="E958" s="13" t="s">
        <v>264</v>
      </c>
    </row>
    <row r="959" spans="1:5" x14ac:dyDescent="0.25">
      <c r="A959" s="13" t="s">
        <v>198</v>
      </c>
      <c r="B959" s="13" t="s">
        <v>598</v>
      </c>
      <c r="C959" s="13" t="s">
        <v>246</v>
      </c>
      <c r="D959" s="13">
        <v>5</v>
      </c>
      <c r="E959" s="13" t="s">
        <v>271</v>
      </c>
    </row>
    <row r="960" spans="1:5" x14ac:dyDescent="0.25">
      <c r="A960" s="13" t="s">
        <v>198</v>
      </c>
      <c r="B960" s="13" t="s">
        <v>598</v>
      </c>
      <c r="C960" t="s">
        <v>599</v>
      </c>
      <c r="D960" s="13">
        <v>3</v>
      </c>
      <c r="E960" s="13" t="s">
        <v>177</v>
      </c>
    </row>
    <row r="961" spans="1:5" x14ac:dyDescent="0.25">
      <c r="A961" s="13" t="s">
        <v>198</v>
      </c>
      <c r="B961" s="13" t="s">
        <v>598</v>
      </c>
      <c r="C961" s="13" t="s">
        <v>334</v>
      </c>
      <c r="D961" s="13">
        <v>1</v>
      </c>
      <c r="E961" s="13" t="s">
        <v>279</v>
      </c>
    </row>
    <row r="962" spans="1:5" x14ac:dyDescent="0.25">
      <c r="A962" s="13" t="s">
        <v>198</v>
      </c>
      <c r="B962" s="13" t="s">
        <v>600</v>
      </c>
      <c r="C962" s="13" t="s">
        <v>274</v>
      </c>
      <c r="D962" s="13">
        <v>6</v>
      </c>
      <c r="E962" s="13" t="s">
        <v>282</v>
      </c>
    </row>
    <row r="963" spans="1:5" x14ac:dyDescent="0.25">
      <c r="A963" s="13" t="s">
        <v>198</v>
      </c>
      <c r="B963" s="13" t="s">
        <v>600</v>
      </c>
      <c r="C963" s="13" t="s">
        <v>334</v>
      </c>
      <c r="D963" s="13">
        <v>1</v>
      </c>
      <c r="E963" s="13" t="s">
        <v>282</v>
      </c>
    </row>
    <row r="964" spans="1:5" x14ac:dyDescent="0.25">
      <c r="A964" s="13" t="s">
        <v>198</v>
      </c>
      <c r="B964" s="13" t="s">
        <v>600</v>
      </c>
      <c r="C964" s="13" t="s">
        <v>269</v>
      </c>
      <c r="D964" s="13">
        <v>2</v>
      </c>
      <c r="E964" s="13" t="s">
        <v>282</v>
      </c>
    </row>
    <row r="965" spans="1:5" x14ac:dyDescent="0.25">
      <c r="A965" s="13" t="s">
        <v>198</v>
      </c>
      <c r="B965" s="13" t="s">
        <v>600</v>
      </c>
      <c r="C965" s="13" t="s">
        <v>259</v>
      </c>
      <c r="D965" s="13">
        <v>1</v>
      </c>
      <c r="E965" s="13" t="s">
        <v>279</v>
      </c>
    </row>
    <row r="966" spans="1:5" x14ac:dyDescent="0.25">
      <c r="A966" s="13" t="s">
        <v>198</v>
      </c>
      <c r="B966" s="13" t="s">
        <v>600</v>
      </c>
      <c r="C966" s="13" t="s">
        <v>246</v>
      </c>
      <c r="D966" s="13">
        <v>3</v>
      </c>
      <c r="E966" s="13" t="s">
        <v>271</v>
      </c>
    </row>
  </sheetData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CALCUL_Ligneux!$A$2:$A$210</xm:f>
          </x14:formula1>
          <x14:formula2>
            <xm:f>0</xm:f>
          </x14:formula2>
          <xm:sqref>C1:C896 C898 C900:C959 C961:C1951</xm:sqref>
        </x14:dataValidation>
        <x14:dataValidation type="list" allowBlank="1" showInputMessage="1" showErrorMessage="1" xr:uid="{00000000-0002-0000-0200-000001000000}">
          <x14:formula1>
            <xm:f>CALCUL_Taux!$A$2:$A$7</xm:f>
          </x14:formula1>
          <x14:formula2>
            <xm:f>0</xm:f>
          </x14:formula2>
          <xm:sqref>D2:D1951</xm:sqref>
        </x14:dataValidation>
        <x14:dataValidation type="list" allowBlank="1" showInputMessage="1" showErrorMessage="1" xr:uid="{00000000-0002-0000-0200-000002000000}">
          <x14:formula1>
            <xm:f>CALCUL_Taux!$D$2:$D$7</xm:f>
          </x14:formula1>
          <x14:formula2>
            <xm:f>0</xm:f>
          </x14:formula2>
          <xm:sqref>E2:E1951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C244"/>
  <sheetViews>
    <sheetView zoomScale="85" zoomScaleNormal="85" workbookViewId="0">
      <pane xSplit="1" topLeftCell="AG1" activePane="topRight" state="frozen"/>
      <selection pane="topRight" activeCell="AY1" sqref="AY1"/>
    </sheetView>
  </sheetViews>
  <sheetFormatPr defaultColWidth="10.7109375" defaultRowHeight="15" x14ac:dyDescent="0.25"/>
  <cols>
    <col min="1" max="1" width="27.7109375" customWidth="1"/>
    <col min="2" max="31" width="4.85546875" customWidth="1"/>
    <col min="32" max="32" width="6.7109375" customWidth="1"/>
    <col min="33" max="33" width="5.85546875" customWidth="1"/>
    <col min="34" max="45" width="4.85546875" customWidth="1"/>
    <col min="46" max="46" width="4.85546875" style="21" customWidth="1"/>
    <col min="47" max="49" width="4.85546875" customWidth="1"/>
    <col min="50" max="50" width="5" customWidth="1"/>
    <col min="51" max="63" width="4.85546875" customWidth="1"/>
    <col min="64" max="64" width="4.7109375" customWidth="1"/>
    <col min="65" max="86" width="4.85546875" customWidth="1"/>
    <col min="87" max="87" width="4.85546875" style="21" customWidth="1"/>
    <col min="88" max="107" width="4.85546875" customWidth="1"/>
  </cols>
  <sheetData>
    <row r="1" spans="1:107" x14ac:dyDescent="0.25">
      <c r="B1" t="s">
        <v>117</v>
      </c>
      <c r="C1" t="s">
        <v>113</v>
      </c>
      <c r="D1" t="s">
        <v>239</v>
      </c>
      <c r="E1" t="s">
        <v>235</v>
      </c>
      <c r="F1" t="s">
        <v>120</v>
      </c>
      <c r="G1" t="s">
        <v>121</v>
      </c>
      <c r="H1" t="s">
        <v>206</v>
      </c>
      <c r="I1" t="s">
        <v>215</v>
      </c>
      <c r="J1" t="s">
        <v>207</v>
      </c>
      <c r="K1" t="s">
        <v>169</v>
      </c>
      <c r="L1" t="s">
        <v>171</v>
      </c>
      <c r="M1" t="s">
        <v>233</v>
      </c>
      <c r="N1" t="s">
        <v>229</v>
      </c>
      <c r="O1" t="s">
        <v>230</v>
      </c>
      <c r="P1" t="s">
        <v>228</v>
      </c>
      <c r="Q1" t="s">
        <v>147</v>
      </c>
      <c r="R1" t="s">
        <v>144</v>
      </c>
      <c r="S1" t="s">
        <v>142</v>
      </c>
      <c r="T1" t="s">
        <v>141</v>
      </c>
      <c r="U1" t="s">
        <v>145</v>
      </c>
      <c r="V1" t="s">
        <v>154</v>
      </c>
      <c r="W1" t="s">
        <v>155</v>
      </c>
      <c r="X1" t="s">
        <v>157</v>
      </c>
      <c r="Y1" t="s">
        <v>221</v>
      </c>
      <c r="Z1" t="s">
        <v>218</v>
      </c>
      <c r="AA1" t="s">
        <v>222</v>
      </c>
      <c r="AB1" t="s">
        <v>220</v>
      </c>
      <c r="AC1" t="s">
        <v>231</v>
      </c>
      <c r="AD1" t="s">
        <v>192</v>
      </c>
      <c r="AE1" t="s">
        <v>193</v>
      </c>
      <c r="AF1" t="s">
        <v>179</v>
      </c>
      <c r="AG1" t="s">
        <v>137</v>
      </c>
      <c r="AH1" t="s">
        <v>143</v>
      </c>
      <c r="AI1" t="s">
        <v>133</v>
      </c>
      <c r="AJ1" t="s">
        <v>127</v>
      </c>
      <c r="AK1" t="s">
        <v>130</v>
      </c>
      <c r="AL1" t="s">
        <v>129</v>
      </c>
      <c r="AM1" t="s">
        <v>128</v>
      </c>
      <c r="AN1" t="s">
        <v>214</v>
      </c>
      <c r="AO1" t="s">
        <v>208</v>
      </c>
      <c r="AP1" t="s">
        <v>203</v>
      </c>
      <c r="AQ1" t="s">
        <v>219</v>
      </c>
      <c r="AR1" t="s">
        <v>161</v>
      </c>
      <c r="AS1" t="s">
        <v>156</v>
      </c>
      <c r="AT1" s="21" t="s">
        <v>123</v>
      </c>
      <c r="AU1" t="s">
        <v>134</v>
      </c>
      <c r="AV1" t="s">
        <v>108</v>
      </c>
      <c r="AW1" t="s">
        <v>136</v>
      </c>
      <c r="AX1" t="s">
        <v>151</v>
      </c>
      <c r="AY1" t="s">
        <v>100</v>
      </c>
      <c r="AZ1" t="s">
        <v>140</v>
      </c>
      <c r="BA1" t="s">
        <v>148</v>
      </c>
      <c r="BB1" t="s">
        <v>150</v>
      </c>
      <c r="BC1" t="s">
        <v>149</v>
      </c>
      <c r="BD1" t="s">
        <v>182</v>
      </c>
      <c r="BE1" t="s">
        <v>175</v>
      </c>
      <c r="BF1" t="s">
        <v>181</v>
      </c>
      <c r="BG1" t="s">
        <v>184</v>
      </c>
      <c r="BH1" t="s">
        <v>183</v>
      </c>
      <c r="BI1" t="s">
        <v>163</v>
      </c>
      <c r="BJ1" t="s">
        <v>162</v>
      </c>
      <c r="BK1" t="s">
        <v>186</v>
      </c>
      <c r="BL1" t="s">
        <v>153</v>
      </c>
      <c r="BM1" t="s">
        <v>152</v>
      </c>
      <c r="BN1" t="s">
        <v>168</v>
      </c>
      <c r="BO1" t="s">
        <v>195</v>
      </c>
      <c r="BP1" t="s">
        <v>174</v>
      </c>
      <c r="BQ1" t="s">
        <v>194</v>
      </c>
      <c r="BR1" t="s">
        <v>199</v>
      </c>
      <c r="BS1" t="s">
        <v>189</v>
      </c>
      <c r="BT1" t="s">
        <v>187</v>
      </c>
      <c r="BU1" t="s">
        <v>188</v>
      </c>
      <c r="BV1" t="s">
        <v>211</v>
      </c>
      <c r="BW1" t="s">
        <v>210</v>
      </c>
      <c r="BX1" t="s">
        <v>176</v>
      </c>
      <c r="BY1" t="s">
        <v>190</v>
      </c>
      <c r="BZ1" t="s">
        <v>197</v>
      </c>
      <c r="CA1" t="s">
        <v>198</v>
      </c>
      <c r="CB1" t="s">
        <v>227</v>
      </c>
      <c r="CC1" t="s">
        <v>209</v>
      </c>
      <c r="CD1" t="s">
        <v>223</v>
      </c>
      <c r="CE1" t="s">
        <v>224</v>
      </c>
      <c r="CF1" t="s">
        <v>226</v>
      </c>
      <c r="CG1" t="s">
        <v>124</v>
      </c>
      <c r="CH1" t="s">
        <v>212</v>
      </c>
      <c r="CI1" s="21" t="s">
        <v>225</v>
      </c>
      <c r="CJ1" t="s">
        <v>165</v>
      </c>
      <c r="CK1" t="s">
        <v>158</v>
      </c>
      <c r="CL1" t="s">
        <v>160</v>
      </c>
      <c r="CM1" t="s">
        <v>201</v>
      </c>
      <c r="CN1" t="s">
        <v>202</v>
      </c>
      <c r="CO1" t="s">
        <v>216</v>
      </c>
      <c r="CP1" t="s">
        <v>135</v>
      </c>
      <c r="CQ1" t="s">
        <v>164</v>
      </c>
      <c r="CR1" t="s">
        <v>200</v>
      </c>
      <c r="CS1" t="s">
        <v>185</v>
      </c>
      <c r="CT1" t="s">
        <v>234</v>
      </c>
      <c r="CU1" t="s">
        <v>172</v>
      </c>
      <c r="CV1" t="s">
        <v>173</v>
      </c>
      <c r="CW1" t="s">
        <v>196</v>
      </c>
      <c r="CX1" t="s">
        <v>167</v>
      </c>
      <c r="CY1" t="s">
        <v>166</v>
      </c>
      <c r="CZ1" t="s">
        <v>122</v>
      </c>
      <c r="DA1" t="s">
        <v>125</v>
      </c>
      <c r="DB1" t="s">
        <v>131</v>
      </c>
      <c r="DC1" t="s">
        <v>132</v>
      </c>
    </row>
    <row r="2" spans="1:107" s="26" customFormat="1" x14ac:dyDescent="0.25">
      <c r="A2" s="26" t="s">
        <v>601</v>
      </c>
      <c r="B2" s="26">
        <v>0</v>
      </c>
      <c r="C2" s="26">
        <v>0</v>
      </c>
      <c r="D2" s="26">
        <v>0</v>
      </c>
      <c r="E2" s="26">
        <v>0</v>
      </c>
      <c r="F2" s="26">
        <v>0</v>
      </c>
      <c r="G2" s="26">
        <v>0</v>
      </c>
      <c r="H2" s="26">
        <v>0</v>
      </c>
      <c r="I2" s="26">
        <v>0</v>
      </c>
      <c r="J2" s="26">
        <v>0</v>
      </c>
      <c r="K2" s="26">
        <v>0</v>
      </c>
      <c r="L2" s="26">
        <v>0</v>
      </c>
      <c r="M2" s="26">
        <v>0</v>
      </c>
      <c r="N2" s="26">
        <v>0</v>
      </c>
      <c r="O2" s="26">
        <v>0</v>
      </c>
      <c r="P2" s="26">
        <v>0</v>
      </c>
      <c r="Q2" s="26">
        <v>0</v>
      </c>
      <c r="R2" s="26">
        <v>0</v>
      </c>
      <c r="S2" s="26">
        <v>0</v>
      </c>
      <c r="T2" s="26">
        <v>0</v>
      </c>
      <c r="U2" s="26">
        <v>0</v>
      </c>
      <c r="V2" s="26">
        <v>0</v>
      </c>
      <c r="W2" s="26">
        <v>0</v>
      </c>
      <c r="X2" s="26">
        <v>0</v>
      </c>
      <c r="Y2" s="26">
        <v>2</v>
      </c>
      <c r="Z2" s="26">
        <v>4</v>
      </c>
      <c r="AA2" s="26">
        <v>2</v>
      </c>
      <c r="AB2" s="26">
        <v>0</v>
      </c>
      <c r="AC2" s="26">
        <v>0</v>
      </c>
      <c r="AD2" s="26">
        <v>0</v>
      </c>
      <c r="AE2" s="26">
        <v>0</v>
      </c>
      <c r="AF2" s="26">
        <v>0</v>
      </c>
      <c r="AG2" s="26">
        <v>0</v>
      </c>
      <c r="AH2" s="26">
        <v>0</v>
      </c>
      <c r="AI2" s="26">
        <v>0</v>
      </c>
      <c r="AJ2" s="26">
        <v>0</v>
      </c>
      <c r="AK2" s="26">
        <v>0</v>
      </c>
      <c r="AL2" s="26">
        <v>0</v>
      </c>
      <c r="AM2" s="26">
        <v>0</v>
      </c>
      <c r="AN2" s="26">
        <v>0</v>
      </c>
      <c r="AO2" s="26">
        <v>0</v>
      </c>
      <c r="AP2" s="26">
        <v>0</v>
      </c>
      <c r="AQ2" s="26">
        <v>0</v>
      </c>
      <c r="AR2" s="26">
        <v>0</v>
      </c>
      <c r="AS2" s="26">
        <v>0</v>
      </c>
      <c r="AT2" s="27">
        <v>0</v>
      </c>
      <c r="AU2" s="26">
        <v>2</v>
      </c>
      <c r="AV2" s="26">
        <v>0</v>
      </c>
      <c r="AW2" s="26">
        <v>4</v>
      </c>
      <c r="AX2" s="26">
        <v>0</v>
      </c>
      <c r="AY2" s="26">
        <v>0</v>
      </c>
      <c r="AZ2" s="26">
        <v>0</v>
      </c>
      <c r="BA2" s="26">
        <v>0</v>
      </c>
      <c r="BB2" s="26">
        <v>0</v>
      </c>
      <c r="BC2" s="26">
        <v>0</v>
      </c>
      <c r="BD2" s="26">
        <v>0</v>
      </c>
      <c r="BE2" s="26">
        <v>0</v>
      </c>
      <c r="BF2" s="26">
        <v>0</v>
      </c>
      <c r="BG2" s="26">
        <v>0</v>
      </c>
      <c r="BH2" s="26">
        <v>0</v>
      </c>
      <c r="BI2" s="26">
        <v>0</v>
      </c>
      <c r="BJ2" s="26">
        <v>0</v>
      </c>
      <c r="BK2" s="26">
        <v>3</v>
      </c>
      <c r="BL2" s="26">
        <v>0</v>
      </c>
      <c r="BM2" s="26">
        <v>0</v>
      </c>
      <c r="BN2" s="26">
        <v>0</v>
      </c>
      <c r="BO2" s="26">
        <v>0</v>
      </c>
      <c r="BP2" s="26">
        <v>0</v>
      </c>
      <c r="BQ2" s="26">
        <v>0</v>
      </c>
      <c r="BR2" s="26">
        <v>0</v>
      </c>
      <c r="BS2" s="26">
        <v>0</v>
      </c>
      <c r="BT2" s="26">
        <v>0</v>
      </c>
      <c r="BU2" s="26">
        <v>0</v>
      </c>
      <c r="BV2" s="26">
        <v>0</v>
      </c>
      <c r="BW2" s="26">
        <v>0</v>
      </c>
      <c r="BX2" s="26">
        <v>2</v>
      </c>
      <c r="BY2" s="26">
        <v>4</v>
      </c>
      <c r="BZ2" s="26">
        <v>0</v>
      </c>
      <c r="CA2" s="26">
        <v>0</v>
      </c>
      <c r="CB2" s="26">
        <v>3</v>
      </c>
      <c r="CC2" s="26">
        <v>0</v>
      </c>
      <c r="CD2" s="26">
        <v>2</v>
      </c>
      <c r="CE2" s="26">
        <v>4</v>
      </c>
      <c r="CF2" s="26">
        <v>0</v>
      </c>
      <c r="CG2" s="26">
        <v>3</v>
      </c>
      <c r="CH2" s="26">
        <v>0</v>
      </c>
      <c r="CI2" s="27">
        <v>0</v>
      </c>
      <c r="CJ2" s="26">
        <v>0</v>
      </c>
      <c r="CK2" s="26">
        <v>0</v>
      </c>
      <c r="CL2" s="26">
        <v>0</v>
      </c>
      <c r="CM2" s="26">
        <v>0</v>
      </c>
      <c r="CN2" s="26">
        <v>0</v>
      </c>
      <c r="CO2" s="26">
        <v>0</v>
      </c>
      <c r="CP2" s="26">
        <v>0</v>
      </c>
      <c r="CQ2" s="26">
        <v>0</v>
      </c>
      <c r="CR2" s="26">
        <v>0</v>
      </c>
      <c r="CS2" s="26">
        <v>0</v>
      </c>
      <c r="CT2" s="26">
        <v>0</v>
      </c>
      <c r="CU2" s="26">
        <v>0</v>
      </c>
      <c r="CV2" s="26">
        <v>0</v>
      </c>
      <c r="CW2" s="26">
        <v>0</v>
      </c>
      <c r="CX2" s="26">
        <v>0</v>
      </c>
      <c r="CY2" s="26">
        <v>0</v>
      </c>
      <c r="CZ2" s="26">
        <v>0</v>
      </c>
      <c r="DA2" s="26">
        <v>0</v>
      </c>
      <c r="DB2" s="26">
        <v>0</v>
      </c>
      <c r="DC2" s="26">
        <v>0</v>
      </c>
    </row>
    <row r="3" spans="1:107" x14ac:dyDescent="0.25">
      <c r="A3" t="s">
        <v>602</v>
      </c>
      <c r="B3">
        <v>0</v>
      </c>
      <c r="C3">
        <v>0</v>
      </c>
      <c r="D3">
        <v>3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 s="21">
        <v>0</v>
      </c>
      <c r="AU3">
        <v>2</v>
      </c>
      <c r="AV3">
        <v>0</v>
      </c>
      <c r="AW3">
        <v>3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2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2</v>
      </c>
      <c r="BY3">
        <v>3</v>
      </c>
      <c r="BZ3">
        <v>0</v>
      </c>
      <c r="CA3">
        <v>0</v>
      </c>
      <c r="CB3">
        <v>2</v>
      </c>
      <c r="CC3">
        <v>0</v>
      </c>
      <c r="CD3">
        <v>2</v>
      </c>
      <c r="CE3">
        <v>2</v>
      </c>
      <c r="CF3">
        <v>0</v>
      </c>
      <c r="CG3">
        <v>2</v>
      </c>
      <c r="CH3">
        <v>1</v>
      </c>
      <c r="CI3" s="21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2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</row>
    <row r="4" spans="1:107" x14ac:dyDescent="0.25">
      <c r="A4" t="s">
        <v>603</v>
      </c>
      <c r="B4">
        <v>0.5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0.5</v>
      </c>
      <c r="X4">
        <v>0</v>
      </c>
      <c r="Y4">
        <v>0</v>
      </c>
      <c r="Z4">
        <v>0.5</v>
      </c>
      <c r="AA4">
        <v>0.5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 s="21">
        <v>0</v>
      </c>
      <c r="AU4">
        <v>0.5</v>
      </c>
      <c r="AV4">
        <v>0</v>
      </c>
      <c r="AW4">
        <v>0.5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3</v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0.5</v>
      </c>
      <c r="BY4">
        <v>1</v>
      </c>
      <c r="BZ4">
        <v>0</v>
      </c>
      <c r="CA4">
        <v>0</v>
      </c>
      <c r="CB4">
        <v>0</v>
      </c>
      <c r="CC4">
        <v>0</v>
      </c>
      <c r="CD4">
        <v>0.5</v>
      </c>
      <c r="CE4">
        <v>0.5</v>
      </c>
      <c r="CF4">
        <v>0</v>
      </c>
      <c r="CG4">
        <v>0.5</v>
      </c>
      <c r="CH4">
        <v>1</v>
      </c>
      <c r="CI4" s="21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0</v>
      </c>
      <c r="CU4">
        <v>0.5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</row>
    <row r="5" spans="1:107" x14ac:dyDescent="0.25">
      <c r="A5" t="s">
        <v>604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 s="21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 s="21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</row>
    <row r="6" spans="1:107" x14ac:dyDescent="0.25">
      <c r="A6" t="s">
        <v>605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 s="21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 s="21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</row>
    <row r="7" spans="1:107" x14ac:dyDescent="0.25">
      <c r="A7" t="s">
        <v>606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0.5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0.5</v>
      </c>
      <c r="AS7">
        <v>0.5</v>
      </c>
      <c r="AT7" s="21">
        <v>0.5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 s="21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0.5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</row>
    <row r="8" spans="1:107" x14ac:dyDescent="0.25">
      <c r="A8" t="s">
        <v>607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 s="21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3</v>
      </c>
      <c r="CI8" s="21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</row>
    <row r="9" spans="1:107" x14ac:dyDescent="0.25">
      <c r="A9" t="s">
        <v>608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 s="21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2</v>
      </c>
      <c r="CI9" s="21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</row>
    <row r="10" spans="1:107" x14ac:dyDescent="0.25">
      <c r="A10" t="s">
        <v>609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 s="21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0.5</v>
      </c>
      <c r="CI10" s="21">
        <v>0</v>
      </c>
      <c r="CJ10">
        <v>0</v>
      </c>
      <c r="CK10">
        <v>0</v>
      </c>
      <c r="CL10">
        <v>0.5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</row>
    <row r="11" spans="1:107" x14ac:dyDescent="0.25">
      <c r="A11" t="s">
        <v>610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</v>
      </c>
      <c r="AM11">
        <v>3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 s="2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 s="2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</row>
    <row r="12" spans="1:107" x14ac:dyDescent="0.25">
      <c r="A12" t="s">
        <v>611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 s="21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 s="21">
        <v>0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</row>
    <row r="13" spans="1:107" x14ac:dyDescent="0.25">
      <c r="A13" t="s">
        <v>612</v>
      </c>
      <c r="B13">
        <v>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 s="21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0.5</v>
      </c>
      <c r="CI13" s="21">
        <v>0</v>
      </c>
      <c r="CJ13">
        <v>0</v>
      </c>
      <c r="CK13">
        <v>0</v>
      </c>
      <c r="CL13">
        <v>0</v>
      </c>
      <c r="CM13">
        <v>0.5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</row>
    <row r="14" spans="1:107" x14ac:dyDescent="0.25">
      <c r="A14" t="s">
        <v>613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0.5</v>
      </c>
      <c r="AR14">
        <v>0</v>
      </c>
      <c r="AS14">
        <v>0</v>
      </c>
      <c r="AT14" s="21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 s="21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</row>
    <row r="15" spans="1:107" x14ac:dyDescent="0.25">
      <c r="A15" t="s">
        <v>614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0.5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0.5</v>
      </c>
      <c r="AS15">
        <v>0</v>
      </c>
      <c r="AT15" s="21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 s="21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</row>
    <row r="16" spans="1:107" x14ac:dyDescent="0.25">
      <c r="A16" t="s">
        <v>615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0.5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0.5</v>
      </c>
      <c r="AQ16">
        <v>0.5</v>
      </c>
      <c r="AR16">
        <v>0</v>
      </c>
      <c r="AS16">
        <v>0</v>
      </c>
      <c r="AT16" s="21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0.5</v>
      </c>
      <c r="CG16">
        <v>0.5</v>
      </c>
      <c r="CH16">
        <v>0</v>
      </c>
      <c r="CI16" s="21">
        <v>0</v>
      </c>
      <c r="CJ16">
        <v>0</v>
      </c>
      <c r="CK16">
        <v>0</v>
      </c>
      <c r="CL16">
        <v>0</v>
      </c>
      <c r="CM16">
        <v>0</v>
      </c>
      <c r="CN16">
        <v>0.5</v>
      </c>
      <c r="CO16">
        <v>0.5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</row>
    <row r="17" spans="1:107" x14ac:dyDescent="0.25">
      <c r="A17" t="s">
        <v>616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0.5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0.5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 s="21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 s="21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</row>
    <row r="18" spans="1:107" x14ac:dyDescent="0.25">
      <c r="A18" t="s">
        <v>617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 s="21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 s="21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</row>
    <row r="19" spans="1:107" x14ac:dyDescent="0.25">
      <c r="A19" t="s">
        <v>618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3</v>
      </c>
      <c r="I19">
        <v>2</v>
      </c>
      <c r="J19">
        <v>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0.5</v>
      </c>
      <c r="Z19">
        <v>0</v>
      </c>
      <c r="AA19">
        <v>0</v>
      </c>
      <c r="AB19">
        <v>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0.5</v>
      </c>
      <c r="AM19">
        <v>1</v>
      </c>
      <c r="AN19">
        <v>2</v>
      </c>
      <c r="AO19">
        <v>1</v>
      </c>
      <c r="AP19">
        <v>3</v>
      </c>
      <c r="AQ19">
        <v>2</v>
      </c>
      <c r="AR19">
        <v>0</v>
      </c>
      <c r="AS19">
        <v>0</v>
      </c>
      <c r="AT19" s="21">
        <v>0.5</v>
      </c>
      <c r="AU19">
        <v>0</v>
      </c>
      <c r="AV19">
        <v>2</v>
      </c>
      <c r="AW19">
        <v>0</v>
      </c>
      <c r="AX19">
        <v>5</v>
      </c>
      <c r="AY19">
        <v>4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1</v>
      </c>
      <c r="BT19">
        <v>0</v>
      </c>
      <c r="BU19">
        <v>0</v>
      </c>
      <c r="BV19">
        <v>2</v>
      </c>
      <c r="BW19">
        <v>2</v>
      </c>
      <c r="BX19">
        <v>0</v>
      </c>
      <c r="BY19">
        <v>0</v>
      </c>
      <c r="BZ19">
        <v>0</v>
      </c>
      <c r="CA19">
        <v>0</v>
      </c>
      <c r="CB19">
        <v>0.5</v>
      </c>
      <c r="CC19">
        <v>1</v>
      </c>
      <c r="CD19">
        <v>0.5</v>
      </c>
      <c r="CE19">
        <v>0.5</v>
      </c>
      <c r="CF19">
        <v>0.5</v>
      </c>
      <c r="CG19">
        <v>0.5</v>
      </c>
      <c r="CH19">
        <v>0.5</v>
      </c>
      <c r="CI19" s="21">
        <v>0.5</v>
      </c>
      <c r="CJ19">
        <v>0</v>
      </c>
      <c r="CK19">
        <v>1</v>
      </c>
      <c r="CL19">
        <v>0.5</v>
      </c>
      <c r="CM19">
        <v>0</v>
      </c>
      <c r="CN19">
        <v>0</v>
      </c>
      <c r="CO19">
        <v>0.5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</row>
    <row r="20" spans="1:107" x14ac:dyDescent="0.25">
      <c r="A20" t="s">
        <v>619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0.5</v>
      </c>
      <c r="N20">
        <v>0</v>
      </c>
      <c r="O20">
        <v>0</v>
      </c>
      <c r="P20">
        <v>0.5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 s="21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 s="21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2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</row>
    <row r="21" spans="1:107" x14ac:dyDescent="0.25">
      <c r="A21" t="s">
        <v>620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 s="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0.5</v>
      </c>
      <c r="CI21" s="21">
        <v>0</v>
      </c>
      <c r="CJ21">
        <v>0.5</v>
      </c>
      <c r="CK21">
        <v>0</v>
      </c>
      <c r="CL21">
        <v>0</v>
      </c>
      <c r="CM21">
        <v>0.5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</row>
    <row r="22" spans="1:107" x14ac:dyDescent="0.25">
      <c r="A22" t="s">
        <v>621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 s="21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 s="21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</row>
    <row r="23" spans="1:107" x14ac:dyDescent="0.25">
      <c r="A23" t="s">
        <v>622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 s="21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 s="21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0.5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</row>
    <row r="24" spans="1:107" x14ac:dyDescent="0.25">
      <c r="A24" t="s">
        <v>623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0.5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 s="21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 s="21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</row>
    <row r="25" spans="1:107" s="21" customFormat="1" x14ac:dyDescent="0.25">
      <c r="A25" s="21" t="s">
        <v>624</v>
      </c>
      <c r="B25" s="21">
        <v>0</v>
      </c>
      <c r="C25" s="21">
        <v>0</v>
      </c>
      <c r="D25" s="21">
        <v>0</v>
      </c>
      <c r="E25" s="21">
        <v>1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0</v>
      </c>
      <c r="Y25" s="21">
        <v>0.5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0</v>
      </c>
      <c r="AY25" s="21">
        <v>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  <c r="BI25" s="21">
        <v>0</v>
      </c>
      <c r="BJ25" s="21">
        <v>0</v>
      </c>
      <c r="BK25" s="21">
        <v>0</v>
      </c>
      <c r="BL25" s="21">
        <v>0</v>
      </c>
      <c r="BM25" s="21">
        <v>0</v>
      </c>
      <c r="BN25" s="21">
        <v>0</v>
      </c>
      <c r="BO25" s="21">
        <v>0</v>
      </c>
      <c r="BP25" s="21">
        <v>0</v>
      </c>
      <c r="BQ25" s="21">
        <v>0</v>
      </c>
      <c r="BR25" s="21">
        <v>0</v>
      </c>
      <c r="BS25" s="21">
        <v>0</v>
      </c>
      <c r="BT25" s="21">
        <v>0</v>
      </c>
      <c r="BU25" s="21">
        <v>0</v>
      </c>
      <c r="BV25" s="21">
        <v>0</v>
      </c>
      <c r="BW25" s="21">
        <v>0</v>
      </c>
      <c r="BX25" s="21">
        <v>0</v>
      </c>
      <c r="BY25" s="21">
        <v>0</v>
      </c>
      <c r="BZ25" s="21">
        <v>0</v>
      </c>
      <c r="CA25" s="21">
        <v>0</v>
      </c>
      <c r="CB25" s="21">
        <v>0</v>
      </c>
      <c r="CC25" s="21">
        <v>0</v>
      </c>
      <c r="CD25" s="21">
        <v>0</v>
      </c>
      <c r="CE25" s="21">
        <v>0.5</v>
      </c>
      <c r="CF25" s="21">
        <v>0</v>
      </c>
      <c r="CG25" s="21">
        <v>0.5</v>
      </c>
      <c r="CH25" s="21">
        <v>0.5</v>
      </c>
      <c r="CI25" s="21">
        <v>0</v>
      </c>
      <c r="CJ25" s="21">
        <v>0</v>
      </c>
      <c r="CK25" s="21">
        <v>0</v>
      </c>
      <c r="CL25" s="21">
        <v>0</v>
      </c>
      <c r="CM25" s="21">
        <v>0</v>
      </c>
      <c r="CN25" s="21">
        <v>0</v>
      </c>
      <c r="CO25" s="21">
        <v>0</v>
      </c>
      <c r="CP25" s="21">
        <v>0</v>
      </c>
      <c r="CQ25" s="21">
        <v>0</v>
      </c>
      <c r="CR25" s="21">
        <v>0</v>
      </c>
      <c r="CS25" s="21">
        <v>0</v>
      </c>
      <c r="CT25" s="21">
        <v>0</v>
      </c>
      <c r="CU25" s="21">
        <v>0</v>
      </c>
      <c r="CV25" s="21">
        <v>0</v>
      </c>
      <c r="CW25" s="21">
        <v>0</v>
      </c>
      <c r="CX25" s="21">
        <v>0</v>
      </c>
      <c r="CY25" s="21">
        <v>0</v>
      </c>
      <c r="CZ25" s="21">
        <v>0</v>
      </c>
      <c r="DA25" s="21">
        <v>0</v>
      </c>
      <c r="DB25" s="21">
        <v>0</v>
      </c>
      <c r="DC25" s="21">
        <v>0</v>
      </c>
    </row>
    <row r="26" spans="1:107" x14ac:dyDescent="0.25">
      <c r="A26" s="7" t="s">
        <v>1437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 s="21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0.5</v>
      </c>
      <c r="BF26">
        <v>0</v>
      </c>
      <c r="BG26">
        <v>0</v>
      </c>
      <c r="BH26">
        <v>0.5</v>
      </c>
      <c r="BI26">
        <v>0</v>
      </c>
      <c r="BJ26">
        <v>0</v>
      </c>
      <c r="BK26">
        <v>0</v>
      </c>
      <c r="BL26">
        <v>0</v>
      </c>
      <c r="BM26">
        <v>2</v>
      </c>
      <c r="BN26">
        <v>0</v>
      </c>
      <c r="BO26">
        <v>0</v>
      </c>
      <c r="BP26">
        <v>0</v>
      </c>
      <c r="BQ26">
        <v>2</v>
      </c>
      <c r="BR26">
        <v>3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 s="21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1</v>
      </c>
      <c r="CU26">
        <v>1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</row>
    <row r="27" spans="1:107" x14ac:dyDescent="0.25">
      <c r="A27" t="s">
        <v>1423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 s="21">
        <v>0</v>
      </c>
      <c r="AU27">
        <v>2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 s="21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</row>
    <row r="28" spans="1:107" x14ac:dyDescent="0.25">
      <c r="A28" t="s">
        <v>625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 s="21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0.5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 s="21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</row>
    <row r="29" spans="1:107" x14ac:dyDescent="0.25">
      <c r="A29" t="s">
        <v>626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</v>
      </c>
      <c r="M29">
        <v>0</v>
      </c>
      <c r="N29">
        <v>3</v>
      </c>
      <c r="O29">
        <v>0</v>
      </c>
      <c r="P29">
        <v>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</v>
      </c>
      <c r="AH29">
        <v>0</v>
      </c>
      <c r="AI29">
        <v>2</v>
      </c>
      <c r="AJ29">
        <v>2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 s="21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 s="21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2</v>
      </c>
      <c r="CV29">
        <v>4</v>
      </c>
      <c r="CW29">
        <v>0</v>
      </c>
      <c r="CX29">
        <v>0</v>
      </c>
      <c r="CY29">
        <v>0</v>
      </c>
      <c r="CZ29">
        <v>0.5</v>
      </c>
      <c r="DA29">
        <v>0.5</v>
      </c>
      <c r="DB29">
        <v>0</v>
      </c>
      <c r="DC29">
        <v>0</v>
      </c>
    </row>
    <row r="30" spans="1:107" s="21" customFormat="1" x14ac:dyDescent="0.25">
      <c r="A30" s="21" t="s">
        <v>627</v>
      </c>
      <c r="B30" s="21">
        <v>0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2</v>
      </c>
      <c r="T30" s="21">
        <v>2</v>
      </c>
      <c r="U30" s="21">
        <v>0.5</v>
      </c>
      <c r="V30" s="21">
        <v>0</v>
      </c>
      <c r="W30" s="21">
        <v>1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0.5</v>
      </c>
      <c r="AU30" s="21">
        <v>0</v>
      </c>
      <c r="AV30" s="21">
        <v>0</v>
      </c>
      <c r="AW30" s="21">
        <v>0</v>
      </c>
      <c r="AX30" s="21">
        <v>0</v>
      </c>
      <c r="AY30" s="21">
        <v>0</v>
      </c>
      <c r="AZ30" s="21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H30" s="21">
        <v>0</v>
      </c>
      <c r="BI30" s="21">
        <v>0</v>
      </c>
      <c r="BJ30" s="21">
        <v>0</v>
      </c>
      <c r="BK30" s="21">
        <v>0</v>
      </c>
      <c r="BL30" s="21">
        <v>0</v>
      </c>
      <c r="BM30" s="21">
        <v>0</v>
      </c>
      <c r="BN30" s="21">
        <v>0</v>
      </c>
      <c r="BO30" s="21">
        <v>0</v>
      </c>
      <c r="BP30" s="21">
        <v>0</v>
      </c>
      <c r="BQ30" s="21">
        <v>1</v>
      </c>
      <c r="BR30" s="21">
        <v>0</v>
      </c>
      <c r="BS30" s="21">
        <v>0</v>
      </c>
      <c r="BT30" s="21">
        <v>0</v>
      </c>
      <c r="BU30" s="21">
        <v>0</v>
      </c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1">
        <v>0</v>
      </c>
      <c r="CH30" s="21">
        <v>0</v>
      </c>
      <c r="CI30" s="21">
        <v>0</v>
      </c>
      <c r="CJ30" s="21">
        <v>0</v>
      </c>
      <c r="CK30" s="21">
        <v>0</v>
      </c>
      <c r="CL30" s="21">
        <v>2</v>
      </c>
      <c r="CM30" s="21">
        <v>0.5</v>
      </c>
      <c r="CN30" s="21">
        <v>0</v>
      </c>
      <c r="CO30" s="21">
        <v>0</v>
      </c>
      <c r="CP30" s="21">
        <v>0</v>
      </c>
      <c r="CQ30" s="21">
        <v>0</v>
      </c>
      <c r="CR30" s="21">
        <v>0</v>
      </c>
      <c r="CS30" s="21">
        <v>0</v>
      </c>
      <c r="CT30" s="21">
        <v>0</v>
      </c>
      <c r="CU30" s="21">
        <v>0</v>
      </c>
      <c r="CV30" s="21">
        <v>0</v>
      </c>
      <c r="CW30" s="21">
        <v>0</v>
      </c>
      <c r="CX30" s="21">
        <v>0</v>
      </c>
      <c r="CY30" s="21">
        <v>0</v>
      </c>
      <c r="CZ30" s="21">
        <v>0</v>
      </c>
      <c r="DA30" s="21">
        <v>0</v>
      </c>
      <c r="DB30" s="21">
        <v>0</v>
      </c>
      <c r="DC30" s="21">
        <v>0</v>
      </c>
    </row>
    <row r="31" spans="1:107" x14ac:dyDescent="0.25">
      <c r="A31" s="7" t="s">
        <v>1438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2</v>
      </c>
      <c r="AA31">
        <v>0.5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 s="2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0.5</v>
      </c>
      <c r="CG31">
        <v>0</v>
      </c>
      <c r="CH31">
        <v>0</v>
      </c>
      <c r="CI31" s="2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</row>
    <row r="32" spans="1:107" x14ac:dyDescent="0.25">
      <c r="A32" t="s">
        <v>426</v>
      </c>
      <c r="B32">
        <v>0</v>
      </c>
      <c r="C32">
        <v>0.5</v>
      </c>
      <c r="D32">
        <v>2</v>
      </c>
      <c r="E32">
        <v>0</v>
      </c>
      <c r="F32">
        <v>0</v>
      </c>
      <c r="G32">
        <v>0</v>
      </c>
      <c r="H32">
        <v>0</v>
      </c>
      <c r="I32">
        <v>0.5</v>
      </c>
      <c r="J32">
        <v>0</v>
      </c>
      <c r="K32">
        <v>0</v>
      </c>
      <c r="L32">
        <v>0.5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 s="21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0.5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0.5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 s="21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</row>
    <row r="33" spans="1:107" x14ac:dyDescent="0.25">
      <c r="A33" t="s">
        <v>628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 s="21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 s="21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</row>
    <row r="34" spans="1:107" x14ac:dyDescent="0.25">
      <c r="A34" t="s">
        <v>629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0.5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 s="21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 s="21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</row>
    <row r="35" spans="1:107" x14ac:dyDescent="0.25">
      <c r="A35" t="s">
        <v>630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 s="21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0.5</v>
      </c>
      <c r="CG35">
        <v>0</v>
      </c>
      <c r="CH35">
        <v>0</v>
      </c>
      <c r="CI35" s="21">
        <v>0.5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</row>
    <row r="36" spans="1:107" x14ac:dyDescent="0.25">
      <c r="A36" t="s">
        <v>631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</v>
      </c>
      <c r="Z36">
        <v>0</v>
      </c>
      <c r="AA36">
        <v>0</v>
      </c>
      <c r="AB36">
        <v>3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0.5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2</v>
      </c>
      <c r="AR36">
        <v>0</v>
      </c>
      <c r="AS36">
        <v>0</v>
      </c>
      <c r="AT36" s="21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0.5</v>
      </c>
      <c r="BW36">
        <v>0.5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0.5</v>
      </c>
      <c r="CD36">
        <v>0</v>
      </c>
      <c r="CE36">
        <v>0.5</v>
      </c>
      <c r="CF36">
        <v>1</v>
      </c>
      <c r="CG36">
        <v>1</v>
      </c>
      <c r="CH36">
        <v>2</v>
      </c>
      <c r="CI36" s="21">
        <v>1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</row>
    <row r="37" spans="1:107" x14ac:dyDescent="0.25">
      <c r="A37" t="s">
        <v>632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0.5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 s="21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 s="21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</row>
    <row r="38" spans="1:107" x14ac:dyDescent="0.25">
      <c r="A38" t="s">
        <v>1439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0.5</v>
      </c>
      <c r="AC38">
        <v>0.5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 s="21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 s="21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</row>
    <row r="39" spans="1:107" x14ac:dyDescent="0.25">
      <c r="A39" t="s">
        <v>633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 s="21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 s="21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</row>
    <row r="40" spans="1:107" x14ac:dyDescent="0.25">
      <c r="A40" t="s">
        <v>634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 s="21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0.5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 s="21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0.5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0.5</v>
      </c>
      <c r="CZ40">
        <v>0</v>
      </c>
      <c r="DA40">
        <v>0</v>
      </c>
      <c r="DB40">
        <v>0.5</v>
      </c>
      <c r="DC40">
        <v>0</v>
      </c>
    </row>
    <row r="41" spans="1:107" x14ac:dyDescent="0.25">
      <c r="A41" t="s">
        <v>635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>
        <v>1</v>
      </c>
      <c r="I41">
        <v>0.5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0.5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0.5</v>
      </c>
      <c r="AQ41">
        <v>0</v>
      </c>
      <c r="AR41">
        <v>0.5</v>
      </c>
      <c r="AS41">
        <v>1</v>
      </c>
      <c r="AT41" s="2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 s="2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</row>
    <row r="42" spans="1:107" x14ac:dyDescent="0.25">
      <c r="A42" t="s">
        <v>636</v>
      </c>
      <c r="B42">
        <v>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5</v>
      </c>
      <c r="M42">
        <v>0</v>
      </c>
      <c r="N42">
        <v>5</v>
      </c>
      <c r="O42">
        <v>4</v>
      </c>
      <c r="P42">
        <v>1</v>
      </c>
      <c r="Q42">
        <v>5</v>
      </c>
      <c r="R42">
        <v>0</v>
      </c>
      <c r="S42">
        <v>0</v>
      </c>
      <c r="T42">
        <v>0</v>
      </c>
      <c r="U42">
        <v>5</v>
      </c>
      <c r="V42">
        <v>5</v>
      </c>
      <c r="W42">
        <v>0</v>
      </c>
      <c r="X42">
        <v>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5</v>
      </c>
      <c r="AS42">
        <v>0</v>
      </c>
      <c r="AT42" s="21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4</v>
      </c>
      <c r="BC42">
        <v>0</v>
      </c>
      <c r="BD42">
        <v>0</v>
      </c>
      <c r="BE42">
        <v>3</v>
      </c>
      <c r="BF42">
        <v>0</v>
      </c>
      <c r="BG42">
        <v>0</v>
      </c>
      <c r="BH42">
        <v>0</v>
      </c>
      <c r="BI42">
        <v>4</v>
      </c>
      <c r="BJ42">
        <v>0</v>
      </c>
      <c r="BK42">
        <v>0</v>
      </c>
      <c r="BL42">
        <v>0</v>
      </c>
      <c r="BM42">
        <v>4</v>
      </c>
      <c r="BN42">
        <v>0</v>
      </c>
      <c r="BO42">
        <v>5</v>
      </c>
      <c r="BP42">
        <v>2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 s="21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2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1</v>
      </c>
      <c r="DB42">
        <v>2</v>
      </c>
      <c r="DC42">
        <v>1</v>
      </c>
    </row>
    <row r="43" spans="1:107" x14ac:dyDescent="0.25">
      <c r="A43" t="s">
        <v>637</v>
      </c>
      <c r="B43">
        <v>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</v>
      </c>
      <c r="M43">
        <v>0</v>
      </c>
      <c r="N43">
        <v>2</v>
      </c>
      <c r="O43">
        <v>1</v>
      </c>
      <c r="P43">
        <v>0</v>
      </c>
      <c r="Q43">
        <v>3</v>
      </c>
      <c r="R43">
        <v>0</v>
      </c>
      <c r="S43">
        <v>0</v>
      </c>
      <c r="T43">
        <v>0</v>
      </c>
      <c r="U43">
        <v>0</v>
      </c>
      <c r="V43">
        <v>1</v>
      </c>
      <c r="W43">
        <v>2</v>
      </c>
      <c r="X43">
        <v>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0.5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>
        <v>0</v>
      </c>
      <c r="AT43" s="21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2</v>
      </c>
      <c r="BC43">
        <v>0</v>
      </c>
      <c r="BD43">
        <v>0</v>
      </c>
      <c r="BE43">
        <v>3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3</v>
      </c>
      <c r="BN43">
        <v>0</v>
      </c>
      <c r="BO43">
        <v>5</v>
      </c>
      <c r="BP43">
        <v>2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 s="21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1</v>
      </c>
      <c r="CU43">
        <v>3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2</v>
      </c>
      <c r="DB43">
        <v>1</v>
      </c>
      <c r="DC43">
        <v>0</v>
      </c>
    </row>
    <row r="44" spans="1:107" x14ac:dyDescent="0.25">
      <c r="A44" t="s">
        <v>638</v>
      </c>
      <c r="B44">
        <v>2</v>
      </c>
      <c r="C44">
        <v>0.5</v>
      </c>
      <c r="D44">
        <v>0.5</v>
      </c>
      <c r="E44">
        <v>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>
        <v>1</v>
      </c>
      <c r="P44">
        <v>0.5</v>
      </c>
      <c r="Q44">
        <v>3</v>
      </c>
      <c r="R44">
        <v>0</v>
      </c>
      <c r="S44">
        <v>0</v>
      </c>
      <c r="T44">
        <v>0.5</v>
      </c>
      <c r="U44">
        <v>1</v>
      </c>
      <c r="V44">
        <v>2</v>
      </c>
      <c r="W44">
        <v>1</v>
      </c>
      <c r="X44">
        <v>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>
        <v>0</v>
      </c>
      <c r="AT44" s="21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0</v>
      </c>
      <c r="BD44">
        <v>0</v>
      </c>
      <c r="BE44">
        <v>0.5</v>
      </c>
      <c r="BF44">
        <v>0</v>
      </c>
      <c r="BG44">
        <v>0</v>
      </c>
      <c r="BH44">
        <v>0</v>
      </c>
      <c r="BI44">
        <v>0.5</v>
      </c>
      <c r="BJ44">
        <v>0</v>
      </c>
      <c r="BK44">
        <v>0</v>
      </c>
      <c r="BL44">
        <v>0.5</v>
      </c>
      <c r="BM44">
        <v>0.5</v>
      </c>
      <c r="BN44">
        <v>0</v>
      </c>
      <c r="BO44">
        <v>3</v>
      </c>
      <c r="BP44">
        <v>1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 s="21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0.5</v>
      </c>
      <c r="DB44">
        <v>0.5</v>
      </c>
      <c r="DC44">
        <v>0</v>
      </c>
    </row>
    <row r="45" spans="1:107" x14ac:dyDescent="0.25">
      <c r="A45" t="s">
        <v>639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 s="21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 s="21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</row>
    <row r="46" spans="1:107" s="21" customFormat="1" x14ac:dyDescent="0.25">
      <c r="A46" s="21" t="s">
        <v>640</v>
      </c>
      <c r="B46" s="21">
        <v>0</v>
      </c>
      <c r="C46" s="21">
        <v>0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1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1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  <c r="AS46" s="21">
        <v>0</v>
      </c>
      <c r="AT46" s="21">
        <v>0</v>
      </c>
      <c r="AU46" s="21">
        <v>0</v>
      </c>
      <c r="AV46" s="21">
        <v>0</v>
      </c>
      <c r="AW46" s="21">
        <v>0</v>
      </c>
      <c r="AX46" s="21">
        <v>0</v>
      </c>
      <c r="AY46" s="21">
        <v>0</v>
      </c>
      <c r="AZ46" s="21">
        <v>0</v>
      </c>
      <c r="BA46" s="21">
        <v>0</v>
      </c>
      <c r="BB46" s="21">
        <v>0</v>
      </c>
      <c r="BC46" s="21">
        <v>0</v>
      </c>
      <c r="BD46" s="21">
        <v>0</v>
      </c>
      <c r="BE46" s="21">
        <v>0</v>
      </c>
      <c r="BF46" s="21">
        <v>0</v>
      </c>
      <c r="BG46" s="21">
        <v>0</v>
      </c>
      <c r="BH46" s="21">
        <v>0</v>
      </c>
      <c r="BI46" s="21">
        <v>0</v>
      </c>
      <c r="BJ46" s="21">
        <v>0</v>
      </c>
      <c r="BK46" s="21">
        <v>0</v>
      </c>
      <c r="BL46" s="21">
        <v>0</v>
      </c>
      <c r="BM46" s="21">
        <v>0</v>
      </c>
      <c r="BN46" s="21">
        <v>0</v>
      </c>
      <c r="BO46" s="21">
        <v>0</v>
      </c>
      <c r="BP46" s="21">
        <v>0</v>
      </c>
      <c r="BQ46" s="21">
        <v>0</v>
      </c>
      <c r="BR46" s="21">
        <v>0</v>
      </c>
      <c r="BS46" s="21">
        <v>0</v>
      </c>
      <c r="BT46" s="21">
        <v>0</v>
      </c>
      <c r="BU46" s="21">
        <v>0</v>
      </c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1">
        <v>0</v>
      </c>
      <c r="CH46" s="21">
        <v>0</v>
      </c>
      <c r="CI46" s="21">
        <v>0</v>
      </c>
      <c r="CJ46" s="21">
        <v>0</v>
      </c>
      <c r="CK46" s="21">
        <v>0</v>
      </c>
      <c r="CL46" s="21">
        <v>0</v>
      </c>
      <c r="CM46" s="21">
        <v>0.5</v>
      </c>
      <c r="CN46" s="21">
        <v>0</v>
      </c>
      <c r="CO46" s="21">
        <v>0</v>
      </c>
      <c r="CP46" s="21">
        <v>0</v>
      </c>
      <c r="CQ46" s="21">
        <v>0</v>
      </c>
      <c r="CR46" s="21">
        <v>0</v>
      </c>
      <c r="CS46" s="21">
        <v>0</v>
      </c>
      <c r="CT46" s="21">
        <v>0</v>
      </c>
      <c r="CU46" s="21">
        <v>0</v>
      </c>
      <c r="CV46" s="21">
        <v>0</v>
      </c>
      <c r="CW46" s="21">
        <v>0</v>
      </c>
      <c r="CX46" s="21">
        <v>0</v>
      </c>
      <c r="CY46" s="21">
        <v>0</v>
      </c>
      <c r="CZ46" s="21">
        <v>0</v>
      </c>
      <c r="DA46" s="21">
        <v>0</v>
      </c>
      <c r="DB46" s="21">
        <v>0</v>
      </c>
      <c r="DC46" s="21">
        <v>0</v>
      </c>
    </row>
    <row r="47" spans="1:107" x14ac:dyDescent="0.25">
      <c r="A47" t="s">
        <v>641</v>
      </c>
      <c r="B47">
        <v>0.5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1</v>
      </c>
      <c r="J47">
        <v>0.5</v>
      </c>
      <c r="K47">
        <v>0</v>
      </c>
      <c r="L47">
        <v>0</v>
      </c>
      <c r="M47">
        <v>1</v>
      </c>
      <c r="N47">
        <v>0.5</v>
      </c>
      <c r="O47">
        <v>0</v>
      </c>
      <c r="P47">
        <v>0</v>
      </c>
      <c r="Q47">
        <v>1</v>
      </c>
      <c r="R47">
        <v>0</v>
      </c>
      <c r="S47">
        <v>1</v>
      </c>
      <c r="T47">
        <v>1</v>
      </c>
      <c r="U47">
        <v>0</v>
      </c>
      <c r="V47">
        <v>0.5</v>
      </c>
      <c r="W47">
        <v>0</v>
      </c>
      <c r="X47">
        <v>0</v>
      </c>
      <c r="Y47">
        <v>0</v>
      </c>
      <c r="Z47">
        <v>0</v>
      </c>
      <c r="AA47">
        <v>0.5</v>
      </c>
      <c r="AB47">
        <v>0.5</v>
      </c>
      <c r="AC47">
        <v>0</v>
      </c>
      <c r="AD47">
        <v>0</v>
      </c>
      <c r="AE47">
        <v>0</v>
      </c>
      <c r="AF47">
        <v>0.5</v>
      </c>
      <c r="AG47">
        <v>0.5</v>
      </c>
      <c r="AH47">
        <v>0.5</v>
      </c>
      <c r="AI47">
        <v>2</v>
      </c>
      <c r="AJ47">
        <v>0.5</v>
      </c>
      <c r="AK47">
        <v>0</v>
      </c>
      <c r="AL47">
        <v>0.5</v>
      </c>
      <c r="AM47">
        <v>0.5</v>
      </c>
      <c r="AN47">
        <v>1</v>
      </c>
      <c r="AO47">
        <v>0.5</v>
      </c>
      <c r="AP47">
        <v>0.5</v>
      </c>
      <c r="AQ47">
        <v>0.5</v>
      </c>
      <c r="AR47">
        <v>0</v>
      </c>
      <c r="AS47">
        <v>0</v>
      </c>
      <c r="AT47" s="21">
        <v>0.5</v>
      </c>
      <c r="AU47">
        <v>0</v>
      </c>
      <c r="AV47">
        <v>0.5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0.5</v>
      </c>
      <c r="BW47">
        <v>0.5</v>
      </c>
      <c r="BX47">
        <v>0.5</v>
      </c>
      <c r="BY47">
        <v>0</v>
      </c>
      <c r="BZ47">
        <v>0</v>
      </c>
      <c r="CA47">
        <v>0</v>
      </c>
      <c r="CB47">
        <v>0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 s="21">
        <v>0.5</v>
      </c>
      <c r="CJ47">
        <v>0</v>
      </c>
      <c r="CK47">
        <v>0.5</v>
      </c>
      <c r="CL47">
        <v>0.5</v>
      </c>
      <c r="CM47">
        <v>0</v>
      </c>
      <c r="CN47">
        <v>0</v>
      </c>
      <c r="CO47">
        <v>0.5</v>
      </c>
      <c r="CP47">
        <v>0</v>
      </c>
      <c r="CQ47">
        <v>0.5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0.5</v>
      </c>
      <c r="CZ47">
        <v>0</v>
      </c>
      <c r="DA47">
        <v>0</v>
      </c>
      <c r="DB47">
        <v>0</v>
      </c>
      <c r="DC47">
        <v>0</v>
      </c>
    </row>
    <row r="48" spans="1:107" x14ac:dyDescent="0.25">
      <c r="A48" t="s">
        <v>642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 s="21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 s="21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0.5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</row>
    <row r="49" spans="1:107" x14ac:dyDescent="0.25">
      <c r="A49" t="s">
        <v>643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0.5</v>
      </c>
      <c r="AT49" s="21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 s="21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</row>
    <row r="50" spans="1:107" x14ac:dyDescent="0.25">
      <c r="A50" t="s">
        <v>644</v>
      </c>
      <c r="B50">
        <v>0</v>
      </c>
      <c r="C50">
        <v>0</v>
      </c>
      <c r="D50">
        <v>0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  <c r="K50">
        <v>0</v>
      </c>
      <c r="L50">
        <v>0.5</v>
      </c>
      <c r="M50">
        <v>0.5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0.5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0.5</v>
      </c>
      <c r="AF50">
        <v>0</v>
      </c>
      <c r="AG50">
        <v>0</v>
      </c>
      <c r="AH50">
        <v>0</v>
      </c>
      <c r="AI50">
        <v>0</v>
      </c>
      <c r="AJ50">
        <v>2</v>
      </c>
      <c r="AK50">
        <v>0.5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 s="21">
        <v>2</v>
      </c>
      <c r="AU50">
        <v>0</v>
      </c>
      <c r="AV50">
        <v>3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2</v>
      </c>
      <c r="BF50">
        <v>0</v>
      </c>
      <c r="BG50">
        <v>2</v>
      </c>
      <c r="BH50">
        <v>0</v>
      </c>
      <c r="BI50">
        <v>0</v>
      </c>
      <c r="BJ50">
        <v>0</v>
      </c>
      <c r="BK50">
        <v>0</v>
      </c>
      <c r="BL50">
        <v>4</v>
      </c>
      <c r="BM50">
        <v>0</v>
      </c>
      <c r="BN50">
        <v>0</v>
      </c>
      <c r="BO50">
        <v>2</v>
      </c>
      <c r="BP50">
        <v>0</v>
      </c>
      <c r="BQ50">
        <v>0</v>
      </c>
      <c r="BR50">
        <v>1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 s="21">
        <v>0</v>
      </c>
      <c r="CJ50">
        <v>1</v>
      </c>
      <c r="CK50">
        <v>1</v>
      </c>
      <c r="CL50">
        <v>5</v>
      </c>
      <c r="CM50">
        <v>2</v>
      </c>
      <c r="CN50">
        <v>1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3</v>
      </c>
      <c r="DA50">
        <v>0</v>
      </c>
      <c r="DB50">
        <v>0</v>
      </c>
      <c r="DC50">
        <v>0</v>
      </c>
    </row>
    <row r="51" spans="1:107" x14ac:dyDescent="0.25">
      <c r="A51" t="s">
        <v>645</v>
      </c>
      <c r="B51">
        <v>0.5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 s="21">
        <v>0.5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0.5</v>
      </c>
      <c r="BF51">
        <v>0</v>
      </c>
      <c r="BG51">
        <v>0.5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0.5</v>
      </c>
      <c r="BP51">
        <v>0</v>
      </c>
      <c r="BQ51">
        <v>0</v>
      </c>
      <c r="BR51">
        <v>0.5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0.5</v>
      </c>
      <c r="BY51">
        <v>0.5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 s="21">
        <v>0</v>
      </c>
      <c r="CJ51">
        <v>0.5</v>
      </c>
      <c r="CK51">
        <v>0.5</v>
      </c>
      <c r="CL51">
        <v>0.5</v>
      </c>
      <c r="CM51">
        <v>0.5</v>
      </c>
      <c r="CN51">
        <v>0.5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1</v>
      </c>
      <c r="DA51">
        <v>0</v>
      </c>
      <c r="DB51">
        <v>0</v>
      </c>
      <c r="DC51">
        <v>0</v>
      </c>
    </row>
    <row r="52" spans="1:107" x14ac:dyDescent="0.25">
      <c r="A52" t="s">
        <v>646</v>
      </c>
      <c r="B52">
        <v>1</v>
      </c>
      <c r="C52">
        <v>0</v>
      </c>
      <c r="D52">
        <v>0</v>
      </c>
      <c r="E52">
        <v>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0.5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0.5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0.5</v>
      </c>
      <c r="AF52">
        <v>0</v>
      </c>
      <c r="AG52">
        <v>1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</v>
      </c>
      <c r="AT52" s="21">
        <v>1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2</v>
      </c>
      <c r="BM52">
        <v>0</v>
      </c>
      <c r="BN52">
        <v>0</v>
      </c>
      <c r="BO52">
        <v>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 s="21">
        <v>0</v>
      </c>
      <c r="CJ52">
        <v>0</v>
      </c>
      <c r="CK52">
        <v>0</v>
      </c>
      <c r="CL52">
        <v>1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0.5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0.5</v>
      </c>
      <c r="DB52">
        <v>0</v>
      </c>
      <c r="DC52">
        <v>0</v>
      </c>
    </row>
    <row r="53" spans="1:107" x14ac:dyDescent="0.25">
      <c r="A53" t="s">
        <v>647</v>
      </c>
      <c r="B53">
        <v>0.5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0.5</v>
      </c>
      <c r="O53">
        <v>0</v>
      </c>
      <c r="P53">
        <v>0</v>
      </c>
      <c r="Q53">
        <v>0</v>
      </c>
      <c r="R53">
        <v>0</v>
      </c>
      <c r="S53">
        <v>0.5</v>
      </c>
      <c r="T53">
        <v>0.5</v>
      </c>
      <c r="U53">
        <v>0.5</v>
      </c>
      <c r="V53">
        <v>0</v>
      </c>
      <c r="W53">
        <v>0</v>
      </c>
      <c r="X53">
        <v>0.5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0.5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0.5</v>
      </c>
      <c r="AT53" s="21">
        <v>0.5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0.5</v>
      </c>
      <c r="BM53">
        <v>0</v>
      </c>
      <c r="BN53">
        <v>0</v>
      </c>
      <c r="BO53">
        <v>0.5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 s="21">
        <v>0</v>
      </c>
      <c r="CJ53">
        <v>0</v>
      </c>
      <c r="CK53">
        <v>0</v>
      </c>
      <c r="CL53">
        <v>0.5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0.5</v>
      </c>
      <c r="CU53">
        <v>0.5</v>
      </c>
      <c r="CV53">
        <v>0</v>
      </c>
      <c r="CW53">
        <v>0</v>
      </c>
      <c r="CX53">
        <v>0</v>
      </c>
      <c r="CY53">
        <v>0</v>
      </c>
      <c r="CZ53">
        <v>0.5</v>
      </c>
      <c r="DA53">
        <v>0</v>
      </c>
      <c r="DB53">
        <v>0</v>
      </c>
      <c r="DC53">
        <v>0</v>
      </c>
    </row>
    <row r="54" spans="1:107" x14ac:dyDescent="0.25">
      <c r="A54" t="s">
        <v>648</v>
      </c>
      <c r="B54">
        <v>0</v>
      </c>
      <c r="C54">
        <v>1</v>
      </c>
      <c r="D54">
        <v>0.5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0.5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 s="21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2</v>
      </c>
      <c r="BQ54">
        <v>0</v>
      </c>
      <c r="BR54">
        <v>1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 s="21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2</v>
      </c>
      <c r="CR54">
        <v>0</v>
      </c>
      <c r="CS54">
        <v>0</v>
      </c>
      <c r="CT54">
        <v>1</v>
      </c>
      <c r="CU54">
        <v>0.5</v>
      </c>
      <c r="CV54">
        <v>2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</row>
    <row r="55" spans="1:107" x14ac:dyDescent="0.25">
      <c r="A55" t="s">
        <v>649</v>
      </c>
      <c r="B55">
        <v>0</v>
      </c>
      <c r="C55">
        <v>0</v>
      </c>
      <c r="D55">
        <v>0.5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0.5</v>
      </c>
      <c r="M55">
        <v>0.5</v>
      </c>
      <c r="N55">
        <v>0.5</v>
      </c>
      <c r="O55">
        <v>0.5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0.5</v>
      </c>
      <c r="Y55">
        <v>0</v>
      </c>
      <c r="Z55">
        <v>0.5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0.5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 s="21">
        <v>0.5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0.5</v>
      </c>
      <c r="BA55">
        <v>0</v>
      </c>
      <c r="BB55">
        <v>0</v>
      </c>
      <c r="BC55">
        <v>0</v>
      </c>
      <c r="BD55">
        <v>0</v>
      </c>
      <c r="BE55">
        <v>0.5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2</v>
      </c>
      <c r="BQ55">
        <v>0.5</v>
      </c>
      <c r="BR55">
        <v>2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0.5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 s="21">
        <v>0</v>
      </c>
      <c r="CJ55">
        <v>0</v>
      </c>
      <c r="CK55">
        <v>0</v>
      </c>
      <c r="CL55">
        <v>0.5</v>
      </c>
      <c r="CM55">
        <v>0</v>
      </c>
      <c r="CN55">
        <v>0</v>
      </c>
      <c r="CO55">
        <v>0</v>
      </c>
      <c r="CP55">
        <v>0.5</v>
      </c>
      <c r="CQ55">
        <v>0</v>
      </c>
      <c r="CR55">
        <v>0</v>
      </c>
      <c r="CS55">
        <v>0</v>
      </c>
      <c r="CT55">
        <v>0</v>
      </c>
      <c r="CU55">
        <v>0.5</v>
      </c>
      <c r="CV55">
        <v>0</v>
      </c>
      <c r="CW55">
        <v>0</v>
      </c>
      <c r="CX55">
        <v>0.5</v>
      </c>
      <c r="CY55">
        <v>0</v>
      </c>
      <c r="CZ55">
        <v>0.5</v>
      </c>
      <c r="DA55">
        <v>0</v>
      </c>
      <c r="DB55">
        <v>0</v>
      </c>
      <c r="DC55">
        <v>0</v>
      </c>
    </row>
    <row r="56" spans="1:107" x14ac:dyDescent="0.25">
      <c r="A56" t="s">
        <v>650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0.5</v>
      </c>
      <c r="N56">
        <v>0</v>
      </c>
      <c r="O56">
        <v>0</v>
      </c>
      <c r="P56">
        <v>0</v>
      </c>
      <c r="Q56">
        <v>0.5</v>
      </c>
      <c r="R56">
        <v>0</v>
      </c>
      <c r="S56">
        <v>1</v>
      </c>
      <c r="T56">
        <v>2</v>
      </c>
      <c r="U56">
        <v>0.5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 s="21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 s="21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</row>
    <row r="57" spans="1:107" x14ac:dyDescent="0.25">
      <c r="A57" s="7" t="s">
        <v>522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0.5</v>
      </c>
      <c r="AR57">
        <v>0</v>
      </c>
      <c r="AS57">
        <v>0</v>
      </c>
      <c r="AT57" s="21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 s="21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</row>
    <row r="58" spans="1:107" x14ac:dyDescent="0.25">
      <c r="A58" t="s">
        <v>651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 s="21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0.5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 s="21">
        <v>0</v>
      </c>
      <c r="CJ58">
        <v>0</v>
      </c>
      <c r="CK58">
        <v>0</v>
      </c>
      <c r="CL58">
        <v>1</v>
      </c>
      <c r="CM58">
        <v>0</v>
      </c>
      <c r="CN58">
        <v>0</v>
      </c>
      <c r="CO58">
        <v>0</v>
      </c>
      <c r="CP58">
        <v>1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</row>
    <row r="59" spans="1:107" x14ac:dyDescent="0.25">
      <c r="A59" t="s">
        <v>652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 s="21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 s="21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0.5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</row>
    <row r="60" spans="1:107" x14ac:dyDescent="0.25">
      <c r="A60" t="s">
        <v>653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 s="21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 s="21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0.5</v>
      </c>
      <c r="CZ60">
        <v>0</v>
      </c>
      <c r="DA60">
        <v>0</v>
      </c>
      <c r="DB60">
        <v>0</v>
      </c>
      <c r="DC60">
        <v>0</v>
      </c>
    </row>
    <row r="61" spans="1:107" x14ac:dyDescent="0.25">
      <c r="A61" t="s">
        <v>654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 s="2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0.5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 s="2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0.5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</row>
    <row r="62" spans="1:107" x14ac:dyDescent="0.25">
      <c r="A62" t="s">
        <v>655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0.5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</row>
    <row r="63" spans="1:107" x14ac:dyDescent="0.25">
      <c r="A63" t="s">
        <v>656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 s="21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0.5</v>
      </c>
      <c r="CG63">
        <v>0</v>
      </c>
      <c r="CH63">
        <v>0</v>
      </c>
      <c r="CI63" s="21">
        <v>0.5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</row>
    <row r="64" spans="1:107" x14ac:dyDescent="0.25">
      <c r="A64" t="s">
        <v>1440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 s="21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0.5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 s="21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</row>
    <row r="65" spans="1:107" x14ac:dyDescent="0.25">
      <c r="A65" t="s">
        <v>657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 s="21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0.5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 s="21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</row>
    <row r="66" spans="1:107" s="21" customFormat="1" x14ac:dyDescent="0.25">
      <c r="A66" s="21" t="s">
        <v>658</v>
      </c>
      <c r="B66" s="21">
        <v>0</v>
      </c>
      <c r="C66" s="21">
        <v>0</v>
      </c>
      <c r="D66" s="21">
        <v>0</v>
      </c>
      <c r="E66" s="21">
        <v>0.5</v>
      </c>
      <c r="F66" s="21">
        <v>0</v>
      </c>
      <c r="G66" s="21">
        <v>0</v>
      </c>
      <c r="H66" s="21">
        <v>0</v>
      </c>
      <c r="I66" s="21">
        <v>0</v>
      </c>
      <c r="J66" s="21">
        <v>0</v>
      </c>
      <c r="K66" s="21">
        <v>0</v>
      </c>
      <c r="L66" s="21">
        <v>0</v>
      </c>
      <c r="M66" s="21">
        <v>1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0</v>
      </c>
      <c r="T66" s="21">
        <v>0</v>
      </c>
      <c r="U66" s="21">
        <v>0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1</v>
      </c>
      <c r="AL66" s="21">
        <v>0</v>
      </c>
      <c r="AM66" s="21">
        <v>0</v>
      </c>
      <c r="AN66" s="21">
        <v>0</v>
      </c>
      <c r="AO66" s="21">
        <v>0.5</v>
      </c>
      <c r="AP66" s="21">
        <v>0.5</v>
      </c>
      <c r="AQ66" s="21">
        <v>0.5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0</v>
      </c>
      <c r="AX66" s="21">
        <v>0</v>
      </c>
      <c r="AY66" s="21">
        <v>0</v>
      </c>
      <c r="AZ66" s="21">
        <v>0</v>
      </c>
      <c r="BA66" s="21">
        <v>0</v>
      </c>
      <c r="BB66" s="21">
        <v>0</v>
      </c>
      <c r="BC66" s="21">
        <v>0</v>
      </c>
      <c r="BD66" s="21">
        <v>0</v>
      </c>
      <c r="BE66" s="21">
        <v>0</v>
      </c>
      <c r="BF66" s="21">
        <v>0</v>
      </c>
      <c r="BG66" s="21">
        <v>0</v>
      </c>
      <c r="BH66" s="21">
        <v>0</v>
      </c>
      <c r="BI66" s="21">
        <v>0</v>
      </c>
      <c r="BJ66" s="21">
        <v>0</v>
      </c>
      <c r="BK66" s="21">
        <v>0</v>
      </c>
      <c r="BL66" s="21">
        <v>0</v>
      </c>
      <c r="BM66" s="21">
        <v>0</v>
      </c>
      <c r="BN66" s="21">
        <v>0</v>
      </c>
      <c r="BO66" s="21">
        <v>0.5</v>
      </c>
      <c r="BP66" s="21">
        <v>0</v>
      </c>
      <c r="BQ66" s="21">
        <v>0</v>
      </c>
      <c r="BR66" s="21">
        <v>0</v>
      </c>
      <c r="BS66" s="21">
        <v>0</v>
      </c>
      <c r="BT66" s="21">
        <v>0</v>
      </c>
      <c r="BU66" s="21">
        <v>0</v>
      </c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0.5</v>
      </c>
      <c r="CB66" s="21">
        <v>0</v>
      </c>
      <c r="CC66" s="21">
        <v>0</v>
      </c>
      <c r="CD66" s="21">
        <v>0</v>
      </c>
      <c r="CE66" s="21">
        <v>0</v>
      </c>
      <c r="CF66" s="21">
        <v>0.5</v>
      </c>
      <c r="CG66" s="21">
        <v>0</v>
      </c>
      <c r="CH66" s="21">
        <v>0</v>
      </c>
      <c r="CI66" s="21">
        <v>0.5</v>
      </c>
      <c r="CJ66" s="21">
        <v>0</v>
      </c>
      <c r="CK66" s="21">
        <v>0</v>
      </c>
      <c r="CL66" s="21">
        <v>0</v>
      </c>
      <c r="CM66" s="21">
        <v>0</v>
      </c>
      <c r="CN66" s="21">
        <v>0</v>
      </c>
      <c r="CO66" s="21">
        <v>0</v>
      </c>
      <c r="CP66" s="21">
        <v>0</v>
      </c>
      <c r="CQ66" s="21">
        <v>0</v>
      </c>
      <c r="CR66" s="21">
        <v>0</v>
      </c>
      <c r="CS66" s="21">
        <v>0</v>
      </c>
      <c r="CT66" s="21">
        <v>0.5</v>
      </c>
      <c r="CU66" s="21">
        <v>0</v>
      </c>
      <c r="CV66" s="21">
        <v>0</v>
      </c>
      <c r="CW66" s="21">
        <v>0</v>
      </c>
      <c r="CX66" s="21">
        <v>0</v>
      </c>
      <c r="CY66" s="21">
        <v>0</v>
      </c>
      <c r="CZ66" s="21">
        <v>0</v>
      </c>
      <c r="DA66" s="21">
        <v>0</v>
      </c>
      <c r="DB66" s="21">
        <v>0</v>
      </c>
      <c r="DC66" s="21">
        <v>0</v>
      </c>
    </row>
    <row r="67" spans="1:107" x14ac:dyDescent="0.25">
      <c r="A67" t="s">
        <v>659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0.5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0.5</v>
      </c>
      <c r="Y67">
        <v>0</v>
      </c>
      <c r="Z67">
        <v>0.5</v>
      </c>
      <c r="AA67">
        <v>0</v>
      </c>
      <c r="AB67">
        <v>0</v>
      </c>
      <c r="AC67">
        <v>0.5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 s="21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 s="21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</row>
    <row r="68" spans="1:107" x14ac:dyDescent="0.25">
      <c r="A68" t="s">
        <v>660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0.5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 s="21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 s="21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</row>
    <row r="69" spans="1:107" x14ac:dyDescent="0.25">
      <c r="A69" t="s">
        <v>661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 s="21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0.5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 s="21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</row>
    <row r="70" spans="1:107" x14ac:dyDescent="0.25">
      <c r="A70" t="s">
        <v>476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 s="21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 s="21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</row>
    <row r="71" spans="1:107" s="21" customFormat="1" x14ac:dyDescent="0.25">
      <c r="A71" s="21" t="s">
        <v>662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0.5</v>
      </c>
      <c r="I71" s="21">
        <v>0.5</v>
      </c>
      <c r="J71" s="21">
        <v>0.5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0.5</v>
      </c>
      <c r="AO71" s="21">
        <v>0.5</v>
      </c>
      <c r="AP71" s="21">
        <v>0.5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1</v>
      </c>
      <c r="AW71" s="21">
        <v>0</v>
      </c>
      <c r="AX71" s="21">
        <v>0</v>
      </c>
      <c r="AY71" s="21">
        <v>0</v>
      </c>
      <c r="AZ71" s="21">
        <v>1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0.5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0.5</v>
      </c>
      <c r="BT71" s="21">
        <v>0.5</v>
      </c>
      <c r="BU71" s="21">
        <v>0.5</v>
      </c>
      <c r="BV71" s="21">
        <v>0.5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1">
        <v>0</v>
      </c>
    </row>
    <row r="72" spans="1:107" x14ac:dyDescent="0.25">
      <c r="A72" t="s">
        <v>663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0.5</v>
      </c>
      <c r="Z72">
        <v>0</v>
      </c>
      <c r="AA72">
        <v>0.5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0.5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0.5</v>
      </c>
      <c r="AR72">
        <v>0</v>
      </c>
      <c r="AS72">
        <v>0</v>
      </c>
      <c r="AT72" s="21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0.5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0.5</v>
      </c>
      <c r="CH72">
        <v>0</v>
      </c>
      <c r="CI72" s="21">
        <v>0</v>
      </c>
      <c r="CJ72">
        <v>0</v>
      </c>
      <c r="CK72">
        <v>0.5</v>
      </c>
      <c r="CL72">
        <v>0</v>
      </c>
      <c r="CM72">
        <v>0.5</v>
      </c>
      <c r="CN72">
        <v>0</v>
      </c>
      <c r="CO72">
        <v>0</v>
      </c>
      <c r="CP72">
        <v>0</v>
      </c>
      <c r="CQ72">
        <v>0.5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</row>
    <row r="73" spans="1:107" x14ac:dyDescent="0.25">
      <c r="A73" t="s">
        <v>664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2</v>
      </c>
      <c r="I73">
        <v>0.5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0.5</v>
      </c>
      <c r="AD73">
        <v>0</v>
      </c>
      <c r="AE73">
        <v>0</v>
      </c>
      <c r="AF73">
        <v>0.5</v>
      </c>
      <c r="AG73">
        <v>0</v>
      </c>
      <c r="AH73">
        <v>0</v>
      </c>
      <c r="AI73">
        <v>0</v>
      </c>
      <c r="AJ73">
        <v>0</v>
      </c>
      <c r="AK73">
        <v>0.5</v>
      </c>
      <c r="AL73">
        <v>0.5</v>
      </c>
      <c r="AM73">
        <v>0</v>
      </c>
      <c r="AN73">
        <v>0.5</v>
      </c>
      <c r="AO73">
        <v>1</v>
      </c>
      <c r="AP73">
        <v>1</v>
      </c>
      <c r="AQ73">
        <v>1</v>
      </c>
      <c r="AR73">
        <v>0</v>
      </c>
      <c r="AS73">
        <v>0</v>
      </c>
      <c r="AT73" s="21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2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1</v>
      </c>
      <c r="CC73">
        <v>1</v>
      </c>
      <c r="CD73">
        <v>0.5</v>
      </c>
      <c r="CE73">
        <v>0</v>
      </c>
      <c r="CF73">
        <v>0.5</v>
      </c>
      <c r="CG73">
        <v>0.5</v>
      </c>
      <c r="CH73">
        <v>0</v>
      </c>
      <c r="CI73" s="21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0.5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</row>
    <row r="74" spans="1:107" x14ac:dyDescent="0.25">
      <c r="A74" t="s">
        <v>665</v>
      </c>
      <c r="B74">
        <v>0</v>
      </c>
      <c r="C74">
        <v>0</v>
      </c>
      <c r="D74">
        <v>0</v>
      </c>
      <c r="E74">
        <v>0</v>
      </c>
      <c r="F74">
        <v>5</v>
      </c>
      <c r="G74">
        <v>5</v>
      </c>
      <c r="H74">
        <v>4</v>
      </c>
      <c r="I74">
        <v>4</v>
      </c>
      <c r="J74">
        <v>5</v>
      </c>
      <c r="K74">
        <v>5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5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4</v>
      </c>
      <c r="Z74">
        <v>1</v>
      </c>
      <c r="AA74">
        <v>3</v>
      </c>
      <c r="AB74">
        <v>5</v>
      </c>
      <c r="AC74">
        <v>4</v>
      </c>
      <c r="AD74">
        <v>0</v>
      </c>
      <c r="AE74">
        <v>4</v>
      </c>
      <c r="AF74">
        <v>4</v>
      </c>
      <c r="AG74">
        <v>0</v>
      </c>
      <c r="AH74">
        <v>5</v>
      </c>
      <c r="AI74">
        <v>0</v>
      </c>
      <c r="AJ74">
        <v>0</v>
      </c>
      <c r="AK74">
        <v>4</v>
      </c>
      <c r="AL74">
        <v>4</v>
      </c>
      <c r="AM74">
        <v>1</v>
      </c>
      <c r="AN74">
        <v>4</v>
      </c>
      <c r="AO74">
        <v>4</v>
      </c>
      <c r="AP74">
        <v>4</v>
      </c>
      <c r="AQ74">
        <v>4</v>
      </c>
      <c r="AR74">
        <v>0</v>
      </c>
      <c r="AS74">
        <v>0</v>
      </c>
      <c r="AT74" s="21">
        <v>0</v>
      </c>
      <c r="AU74">
        <v>5</v>
      </c>
      <c r="AV74">
        <v>5</v>
      </c>
      <c r="AW74">
        <v>5</v>
      </c>
      <c r="AX74">
        <v>5</v>
      </c>
      <c r="AY74">
        <v>5</v>
      </c>
      <c r="AZ74">
        <v>3</v>
      </c>
      <c r="BA74">
        <v>5</v>
      </c>
      <c r="BB74">
        <v>4</v>
      </c>
      <c r="BC74">
        <v>5</v>
      </c>
      <c r="BD74">
        <v>0</v>
      </c>
      <c r="BE74">
        <v>0</v>
      </c>
      <c r="BF74">
        <v>4</v>
      </c>
      <c r="BG74">
        <v>5</v>
      </c>
      <c r="BH74">
        <v>0</v>
      </c>
      <c r="BI74">
        <v>5</v>
      </c>
      <c r="BJ74">
        <v>5</v>
      </c>
      <c r="BK74">
        <v>5</v>
      </c>
      <c r="BL74">
        <v>0</v>
      </c>
      <c r="BM74">
        <v>5</v>
      </c>
      <c r="BN74">
        <v>0</v>
      </c>
      <c r="BO74">
        <v>0</v>
      </c>
      <c r="BP74">
        <v>0</v>
      </c>
      <c r="BQ74">
        <v>2</v>
      </c>
      <c r="BR74">
        <v>0</v>
      </c>
      <c r="BS74">
        <v>5</v>
      </c>
      <c r="BT74">
        <v>3</v>
      </c>
      <c r="BU74">
        <v>5</v>
      </c>
      <c r="BV74">
        <v>5</v>
      </c>
      <c r="BW74">
        <v>5</v>
      </c>
      <c r="BX74">
        <v>0</v>
      </c>
      <c r="BY74">
        <v>2</v>
      </c>
      <c r="BZ74">
        <v>2</v>
      </c>
      <c r="CA74">
        <v>2</v>
      </c>
      <c r="CB74">
        <v>4</v>
      </c>
      <c r="CC74">
        <v>5</v>
      </c>
      <c r="CD74">
        <v>5</v>
      </c>
      <c r="CE74">
        <v>2</v>
      </c>
      <c r="CF74">
        <v>5</v>
      </c>
      <c r="CG74">
        <v>3</v>
      </c>
      <c r="CH74">
        <v>0</v>
      </c>
      <c r="CI74" s="21">
        <v>5</v>
      </c>
      <c r="CJ74">
        <v>3</v>
      </c>
      <c r="CK74">
        <v>5</v>
      </c>
      <c r="CL74">
        <v>1</v>
      </c>
      <c r="CM74">
        <v>3</v>
      </c>
      <c r="CN74">
        <v>4</v>
      </c>
      <c r="CO74">
        <v>5</v>
      </c>
      <c r="CP74">
        <v>3</v>
      </c>
      <c r="CQ74">
        <v>0</v>
      </c>
      <c r="CR74">
        <v>5</v>
      </c>
      <c r="CS74">
        <v>3</v>
      </c>
      <c r="CT74">
        <v>0</v>
      </c>
      <c r="CU74">
        <v>0</v>
      </c>
      <c r="CV74">
        <v>0</v>
      </c>
      <c r="CW74">
        <v>4</v>
      </c>
      <c r="CX74">
        <v>1</v>
      </c>
      <c r="CY74">
        <v>0</v>
      </c>
      <c r="CZ74">
        <v>0</v>
      </c>
      <c r="DA74">
        <v>2</v>
      </c>
      <c r="DB74">
        <v>4</v>
      </c>
      <c r="DC74">
        <v>5</v>
      </c>
    </row>
    <row r="75" spans="1:107" x14ac:dyDescent="0.25">
      <c r="A75" t="s">
        <v>666</v>
      </c>
      <c r="B75">
        <v>1</v>
      </c>
      <c r="C75">
        <v>0</v>
      </c>
      <c r="D75">
        <v>1</v>
      </c>
      <c r="E75">
        <v>0</v>
      </c>
      <c r="F75">
        <v>1</v>
      </c>
      <c r="G75">
        <v>4</v>
      </c>
      <c r="H75">
        <v>2</v>
      </c>
      <c r="I75">
        <v>0</v>
      </c>
      <c r="J75">
        <v>2</v>
      </c>
      <c r="K75">
        <v>0</v>
      </c>
      <c r="L75">
        <v>0</v>
      </c>
      <c r="M75">
        <v>0</v>
      </c>
      <c r="N75">
        <v>0.5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2</v>
      </c>
      <c r="W75">
        <v>0</v>
      </c>
      <c r="X75">
        <v>0</v>
      </c>
      <c r="Y75">
        <v>1</v>
      </c>
      <c r="Z75">
        <v>1</v>
      </c>
      <c r="AA75">
        <v>0</v>
      </c>
      <c r="AB75">
        <v>3</v>
      </c>
      <c r="AC75">
        <v>4</v>
      </c>
      <c r="AD75">
        <v>0</v>
      </c>
      <c r="AE75">
        <v>1</v>
      </c>
      <c r="AF75">
        <v>2</v>
      </c>
      <c r="AG75">
        <v>0</v>
      </c>
      <c r="AH75">
        <v>4</v>
      </c>
      <c r="AI75">
        <v>0</v>
      </c>
      <c r="AJ75">
        <v>0</v>
      </c>
      <c r="AK75">
        <v>3</v>
      </c>
      <c r="AL75">
        <v>0</v>
      </c>
      <c r="AM75">
        <v>0</v>
      </c>
      <c r="AN75">
        <v>3</v>
      </c>
      <c r="AO75">
        <v>3</v>
      </c>
      <c r="AP75">
        <v>2</v>
      </c>
      <c r="AQ75">
        <v>3</v>
      </c>
      <c r="AR75">
        <v>0</v>
      </c>
      <c r="AS75">
        <v>0</v>
      </c>
      <c r="AT75" s="21">
        <v>0</v>
      </c>
      <c r="AU75">
        <v>3</v>
      </c>
      <c r="AV75">
        <v>4</v>
      </c>
      <c r="AW75">
        <v>4</v>
      </c>
      <c r="AX75">
        <v>2</v>
      </c>
      <c r="AY75">
        <v>2</v>
      </c>
      <c r="AZ75">
        <v>4</v>
      </c>
      <c r="BA75">
        <v>3</v>
      </c>
      <c r="BB75">
        <v>4</v>
      </c>
      <c r="BC75">
        <v>3</v>
      </c>
      <c r="BD75">
        <v>5</v>
      </c>
      <c r="BE75">
        <v>0</v>
      </c>
      <c r="BF75">
        <v>5</v>
      </c>
      <c r="BG75">
        <v>4</v>
      </c>
      <c r="BH75">
        <v>0</v>
      </c>
      <c r="BI75">
        <v>4</v>
      </c>
      <c r="BJ75">
        <v>4</v>
      </c>
      <c r="BK75">
        <v>3</v>
      </c>
      <c r="BL75">
        <v>0</v>
      </c>
      <c r="BM75">
        <v>5</v>
      </c>
      <c r="BN75">
        <v>0</v>
      </c>
      <c r="BO75">
        <v>0</v>
      </c>
      <c r="BP75">
        <v>0</v>
      </c>
      <c r="BQ75">
        <v>4</v>
      </c>
      <c r="BR75">
        <v>0</v>
      </c>
      <c r="BS75">
        <v>4</v>
      </c>
      <c r="BT75">
        <v>5</v>
      </c>
      <c r="BU75">
        <v>4</v>
      </c>
      <c r="BV75">
        <v>4</v>
      </c>
      <c r="BW75">
        <v>4</v>
      </c>
      <c r="BX75">
        <v>3</v>
      </c>
      <c r="BY75">
        <v>2</v>
      </c>
      <c r="BZ75">
        <v>2</v>
      </c>
      <c r="CA75">
        <v>3</v>
      </c>
      <c r="CB75">
        <v>3</v>
      </c>
      <c r="CC75">
        <v>3</v>
      </c>
      <c r="CD75">
        <v>5</v>
      </c>
      <c r="CE75">
        <v>4</v>
      </c>
      <c r="CF75">
        <v>2</v>
      </c>
      <c r="CG75">
        <v>3</v>
      </c>
      <c r="CH75">
        <v>1</v>
      </c>
      <c r="CI75" s="21">
        <v>2</v>
      </c>
      <c r="CJ75">
        <v>3</v>
      </c>
      <c r="CK75">
        <v>2</v>
      </c>
      <c r="CL75">
        <v>2</v>
      </c>
      <c r="CM75">
        <v>3</v>
      </c>
      <c r="CN75">
        <v>5</v>
      </c>
      <c r="CO75">
        <v>4</v>
      </c>
      <c r="CP75">
        <v>2</v>
      </c>
      <c r="CQ75">
        <v>0</v>
      </c>
      <c r="CR75">
        <v>2</v>
      </c>
      <c r="CS75">
        <v>4</v>
      </c>
      <c r="CT75">
        <v>0</v>
      </c>
      <c r="CU75">
        <v>0</v>
      </c>
      <c r="CV75">
        <v>0</v>
      </c>
      <c r="CW75">
        <v>4</v>
      </c>
      <c r="CX75">
        <v>2</v>
      </c>
      <c r="CY75">
        <v>2</v>
      </c>
      <c r="CZ75">
        <v>2</v>
      </c>
      <c r="DA75">
        <v>4</v>
      </c>
      <c r="DB75">
        <v>3</v>
      </c>
      <c r="DC75">
        <v>3</v>
      </c>
    </row>
    <row r="76" spans="1:107" x14ac:dyDescent="0.25">
      <c r="A76" t="s">
        <v>667</v>
      </c>
      <c r="B76">
        <v>0.5</v>
      </c>
      <c r="C76">
        <v>0.5</v>
      </c>
      <c r="D76">
        <v>0</v>
      </c>
      <c r="E76">
        <v>0</v>
      </c>
      <c r="F76">
        <v>0.5</v>
      </c>
      <c r="G76">
        <v>0.5</v>
      </c>
      <c r="H76">
        <v>1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0.5</v>
      </c>
      <c r="S76">
        <v>0</v>
      </c>
      <c r="T76">
        <v>0</v>
      </c>
      <c r="U76">
        <v>0.5</v>
      </c>
      <c r="V76">
        <v>0.5</v>
      </c>
      <c r="W76">
        <v>0.5</v>
      </c>
      <c r="X76">
        <v>0</v>
      </c>
      <c r="Y76">
        <v>0.5</v>
      </c>
      <c r="Z76">
        <v>0</v>
      </c>
      <c r="AA76">
        <v>0.5</v>
      </c>
      <c r="AB76">
        <v>0.5</v>
      </c>
      <c r="AC76">
        <v>0.5</v>
      </c>
      <c r="AD76">
        <v>0</v>
      </c>
      <c r="AE76">
        <v>0.5</v>
      </c>
      <c r="AF76">
        <v>0.5</v>
      </c>
      <c r="AG76">
        <v>0</v>
      </c>
      <c r="AH76">
        <v>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1</v>
      </c>
      <c r="AQ76">
        <v>0.5</v>
      </c>
      <c r="AR76">
        <v>0</v>
      </c>
      <c r="AS76">
        <v>0</v>
      </c>
      <c r="AT76" s="21">
        <v>0</v>
      </c>
      <c r="AU76">
        <v>0.5</v>
      </c>
      <c r="AV76">
        <v>0.5</v>
      </c>
      <c r="AW76">
        <v>0</v>
      </c>
      <c r="AX76">
        <v>1</v>
      </c>
      <c r="AY76">
        <v>0.5</v>
      </c>
      <c r="AZ76">
        <v>0.5</v>
      </c>
      <c r="BA76">
        <v>0</v>
      </c>
      <c r="BB76">
        <v>2</v>
      </c>
      <c r="BC76">
        <v>1</v>
      </c>
      <c r="BD76">
        <v>0.5</v>
      </c>
      <c r="BE76">
        <v>0</v>
      </c>
      <c r="BF76">
        <v>2</v>
      </c>
      <c r="BG76">
        <v>0.5</v>
      </c>
      <c r="BH76">
        <v>0</v>
      </c>
      <c r="BI76">
        <v>0.5</v>
      </c>
      <c r="BJ76">
        <v>0.5</v>
      </c>
      <c r="BK76">
        <v>0.5</v>
      </c>
      <c r="BL76">
        <v>0</v>
      </c>
      <c r="BM76">
        <v>0.5</v>
      </c>
      <c r="BN76">
        <v>0</v>
      </c>
      <c r="BO76">
        <v>0</v>
      </c>
      <c r="BP76">
        <v>0</v>
      </c>
      <c r="BQ76">
        <v>1</v>
      </c>
      <c r="BR76">
        <v>0</v>
      </c>
      <c r="BS76">
        <v>0.5</v>
      </c>
      <c r="BT76">
        <v>0.5</v>
      </c>
      <c r="BU76">
        <v>1</v>
      </c>
      <c r="BV76">
        <v>1</v>
      </c>
      <c r="BW76">
        <v>0.5</v>
      </c>
      <c r="BX76">
        <v>4</v>
      </c>
      <c r="BY76">
        <v>2</v>
      </c>
      <c r="BZ76">
        <v>2</v>
      </c>
      <c r="CA76">
        <v>2</v>
      </c>
      <c r="CB76">
        <v>1</v>
      </c>
      <c r="CC76">
        <v>0</v>
      </c>
      <c r="CD76">
        <v>0.5</v>
      </c>
      <c r="CE76">
        <v>0.5</v>
      </c>
      <c r="CF76">
        <v>0.5</v>
      </c>
      <c r="CG76">
        <v>0.5</v>
      </c>
      <c r="CH76">
        <v>0.5</v>
      </c>
      <c r="CI76" s="21">
        <v>1</v>
      </c>
      <c r="CJ76">
        <v>1</v>
      </c>
      <c r="CK76">
        <v>0.5</v>
      </c>
      <c r="CL76">
        <v>0.5</v>
      </c>
      <c r="CM76">
        <v>0</v>
      </c>
      <c r="CN76">
        <v>1</v>
      </c>
      <c r="CO76">
        <v>0.5</v>
      </c>
      <c r="CP76">
        <v>0.5</v>
      </c>
      <c r="CQ76">
        <v>0</v>
      </c>
      <c r="CR76">
        <v>0.5</v>
      </c>
      <c r="CS76">
        <v>1</v>
      </c>
      <c r="CT76">
        <v>0.5</v>
      </c>
      <c r="CU76">
        <v>0</v>
      </c>
      <c r="CV76">
        <v>0</v>
      </c>
      <c r="CW76">
        <v>0.5</v>
      </c>
      <c r="CX76">
        <v>0.5</v>
      </c>
      <c r="CY76">
        <v>0</v>
      </c>
      <c r="CZ76">
        <v>0.5</v>
      </c>
      <c r="DA76">
        <v>0.5</v>
      </c>
      <c r="DB76">
        <v>0</v>
      </c>
      <c r="DC76">
        <v>0</v>
      </c>
    </row>
    <row r="77" spans="1:107" x14ac:dyDescent="0.25">
      <c r="A77" t="s">
        <v>668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 s="21">
        <v>0.5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2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 s="21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0.5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</row>
    <row r="78" spans="1:107" s="21" customFormat="1" x14ac:dyDescent="0.25">
      <c r="A78" s="21" t="s">
        <v>669</v>
      </c>
      <c r="B78" s="21">
        <v>0</v>
      </c>
      <c r="C78" s="21">
        <v>3</v>
      </c>
      <c r="D78" s="21">
        <v>2</v>
      </c>
      <c r="E78" s="21">
        <v>0</v>
      </c>
      <c r="F78" s="21">
        <v>0</v>
      </c>
      <c r="G78" s="21">
        <v>1</v>
      </c>
      <c r="H78" s="21">
        <v>1</v>
      </c>
      <c r="I78" s="21">
        <v>2</v>
      </c>
      <c r="J78" s="21">
        <v>0.5</v>
      </c>
      <c r="K78" s="21">
        <v>0.5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2</v>
      </c>
      <c r="S78" s="21">
        <v>0.5</v>
      </c>
      <c r="T78" s="21">
        <v>0.5</v>
      </c>
      <c r="U78" s="21">
        <v>0</v>
      </c>
      <c r="V78" s="21">
        <v>0</v>
      </c>
      <c r="W78" s="21">
        <v>1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2</v>
      </c>
      <c r="AD78" s="21">
        <v>3</v>
      </c>
      <c r="AE78" s="21">
        <v>0</v>
      </c>
      <c r="AF78" s="21">
        <v>0</v>
      </c>
      <c r="AG78" s="21">
        <v>0</v>
      </c>
      <c r="AH78" s="21">
        <v>0</v>
      </c>
      <c r="AI78" s="21">
        <v>4</v>
      </c>
      <c r="AJ78" s="21">
        <v>0</v>
      </c>
      <c r="AK78" s="21">
        <v>0.5</v>
      </c>
      <c r="AL78" s="21">
        <v>0</v>
      </c>
      <c r="AM78" s="21">
        <v>0</v>
      </c>
      <c r="AN78" s="21">
        <v>0</v>
      </c>
      <c r="AO78" s="21">
        <v>0</v>
      </c>
      <c r="AP78" s="21">
        <v>1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0</v>
      </c>
      <c r="AY78" s="21">
        <v>0</v>
      </c>
      <c r="AZ78" s="21">
        <v>0</v>
      </c>
      <c r="BA78" s="21">
        <v>0</v>
      </c>
      <c r="BB78" s="21">
        <v>0</v>
      </c>
      <c r="BC78" s="21">
        <v>0</v>
      </c>
      <c r="BD78" s="21">
        <v>0.5</v>
      </c>
      <c r="BE78" s="21">
        <v>0</v>
      </c>
      <c r="BF78" s="21">
        <v>0</v>
      </c>
      <c r="BG78" s="21">
        <v>0</v>
      </c>
      <c r="BH78" s="21">
        <v>0</v>
      </c>
      <c r="BI78" s="21">
        <v>0</v>
      </c>
      <c r="BJ78" s="21">
        <v>0</v>
      </c>
      <c r="BK78" s="21">
        <v>0</v>
      </c>
      <c r="BL78" s="21">
        <v>0</v>
      </c>
      <c r="BM78" s="21">
        <v>0</v>
      </c>
      <c r="BN78" s="21">
        <v>2</v>
      </c>
      <c r="BO78" s="21">
        <v>0</v>
      </c>
      <c r="BP78" s="21">
        <v>0</v>
      </c>
      <c r="BQ78" s="21">
        <v>0</v>
      </c>
      <c r="BR78" s="21">
        <v>0</v>
      </c>
      <c r="BS78" s="21">
        <v>0</v>
      </c>
      <c r="BT78" s="21">
        <v>0</v>
      </c>
      <c r="BU78" s="21">
        <v>0</v>
      </c>
      <c r="BV78" s="21">
        <v>0</v>
      </c>
      <c r="BW78" s="21">
        <v>0</v>
      </c>
      <c r="BX78" s="21">
        <v>0</v>
      </c>
      <c r="BY78" s="21">
        <v>2</v>
      </c>
      <c r="BZ78" s="21">
        <v>5</v>
      </c>
      <c r="CA78" s="21">
        <v>4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1">
        <v>0.5</v>
      </c>
      <c r="CH78" s="21">
        <v>0</v>
      </c>
      <c r="CI78" s="21">
        <v>0</v>
      </c>
      <c r="CJ78" s="21">
        <v>0</v>
      </c>
      <c r="CK78" s="21">
        <v>0</v>
      </c>
      <c r="CL78" s="21">
        <v>0</v>
      </c>
      <c r="CM78" s="21">
        <v>0</v>
      </c>
      <c r="CN78" s="21">
        <v>0</v>
      </c>
      <c r="CO78" s="21">
        <v>0</v>
      </c>
      <c r="CP78" s="21">
        <v>0</v>
      </c>
      <c r="CQ78" s="21">
        <v>0</v>
      </c>
      <c r="CR78" s="21">
        <v>0</v>
      </c>
      <c r="CS78" s="21">
        <v>0</v>
      </c>
      <c r="CT78" s="21">
        <v>0</v>
      </c>
      <c r="CU78" s="21">
        <v>3</v>
      </c>
      <c r="CV78" s="21">
        <v>1</v>
      </c>
      <c r="CW78" s="21">
        <v>0</v>
      </c>
      <c r="CX78" s="21">
        <v>0.5</v>
      </c>
      <c r="CY78" s="21">
        <v>0</v>
      </c>
      <c r="CZ78" s="21">
        <v>0</v>
      </c>
      <c r="DA78" s="21">
        <v>0.5</v>
      </c>
      <c r="DB78" s="21">
        <v>0</v>
      </c>
      <c r="DC78" s="21">
        <v>0</v>
      </c>
    </row>
    <row r="79" spans="1:107" x14ac:dyDescent="0.25">
      <c r="A79" t="s">
        <v>670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 s="21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0.5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 s="21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</row>
    <row r="80" spans="1:107" x14ac:dyDescent="0.25">
      <c r="A80" t="s">
        <v>671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 s="21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 s="21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</row>
    <row r="81" spans="1:107" x14ac:dyDescent="0.25">
      <c r="A81" t="s">
        <v>672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 s="21">
        <v>0.5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 s="21">
        <v>0</v>
      </c>
      <c r="CJ81">
        <v>0</v>
      </c>
      <c r="CK81">
        <v>0</v>
      </c>
      <c r="CL81">
        <v>0.5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0.5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</row>
    <row r="82" spans="1:107" x14ac:dyDescent="0.25">
      <c r="A82" t="s">
        <v>673</v>
      </c>
      <c r="B82">
        <v>0</v>
      </c>
      <c r="C82">
        <v>0</v>
      </c>
      <c r="D82">
        <v>0</v>
      </c>
      <c r="E82">
        <v>0.5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0.5</v>
      </c>
      <c r="AT82" s="21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 s="21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</row>
    <row r="83" spans="1:107" x14ac:dyDescent="0.25">
      <c r="A83" t="s">
        <v>674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0.5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 s="21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 s="21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</row>
    <row r="84" spans="1:107" x14ac:dyDescent="0.25">
      <c r="A84" t="s">
        <v>675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2</v>
      </c>
      <c r="AF84">
        <v>0</v>
      </c>
      <c r="AG84">
        <v>0</v>
      </c>
      <c r="AH84">
        <v>0</v>
      </c>
      <c r="AI84">
        <v>0</v>
      </c>
      <c r="AJ84">
        <v>3</v>
      </c>
      <c r="AK84">
        <v>0</v>
      </c>
      <c r="AL84">
        <v>1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 s="21">
        <v>3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3</v>
      </c>
      <c r="CI84" s="21">
        <v>0</v>
      </c>
      <c r="CJ84">
        <v>0</v>
      </c>
      <c r="CK84">
        <v>0</v>
      </c>
      <c r="CL84">
        <v>0</v>
      </c>
      <c r="CM84">
        <v>3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1</v>
      </c>
      <c r="CU84">
        <v>2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</row>
    <row r="85" spans="1:107" s="21" customFormat="1" x14ac:dyDescent="0.25">
      <c r="A85" s="21" t="s">
        <v>676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0.5</v>
      </c>
      <c r="M85" s="21">
        <v>0</v>
      </c>
      <c r="N85" s="21">
        <v>0</v>
      </c>
      <c r="O85" s="21">
        <v>1</v>
      </c>
      <c r="P85" s="21">
        <v>1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2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3</v>
      </c>
      <c r="CR85" s="21">
        <v>0</v>
      </c>
      <c r="CS85" s="21">
        <v>0</v>
      </c>
      <c r="CT85" s="21">
        <v>2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0.5</v>
      </c>
      <c r="DC85" s="21">
        <v>0</v>
      </c>
    </row>
    <row r="86" spans="1:107" s="21" customFormat="1" x14ac:dyDescent="0.25">
      <c r="A86" s="21" t="s">
        <v>677</v>
      </c>
      <c r="B86" s="21">
        <v>1</v>
      </c>
      <c r="C86" s="21">
        <v>0</v>
      </c>
      <c r="D86" s="21">
        <v>0</v>
      </c>
      <c r="E86" s="21">
        <v>0.5</v>
      </c>
      <c r="F86" s="21">
        <v>0</v>
      </c>
      <c r="G86" s="21">
        <v>0</v>
      </c>
      <c r="H86" s="21">
        <v>0</v>
      </c>
      <c r="I86" s="21">
        <v>0</v>
      </c>
      <c r="J86" s="21">
        <v>0</v>
      </c>
      <c r="K86" s="21">
        <v>0</v>
      </c>
      <c r="L86" s="21">
        <v>1</v>
      </c>
      <c r="M86" s="21">
        <v>0</v>
      </c>
      <c r="N86" s="21">
        <v>2</v>
      </c>
      <c r="O86" s="21">
        <v>2</v>
      </c>
      <c r="P86" s="21">
        <v>1</v>
      </c>
      <c r="Q86" s="21">
        <v>1</v>
      </c>
      <c r="R86" s="21">
        <v>0</v>
      </c>
      <c r="S86" s="21">
        <v>0.5</v>
      </c>
      <c r="T86" s="21">
        <v>0</v>
      </c>
      <c r="U86" s="21">
        <v>0</v>
      </c>
      <c r="V86" s="21">
        <v>0.5</v>
      </c>
      <c r="W86" s="21">
        <v>1</v>
      </c>
      <c r="X86" s="21">
        <v>0.5</v>
      </c>
      <c r="Y86" s="21">
        <v>0</v>
      </c>
      <c r="Z86" s="21">
        <v>0</v>
      </c>
      <c r="AA86" s="21">
        <v>0</v>
      </c>
      <c r="AB86" s="21">
        <v>0</v>
      </c>
      <c r="AC86" s="21">
        <v>0.5</v>
      </c>
      <c r="AD86" s="21">
        <v>0</v>
      </c>
      <c r="AE86" s="21">
        <v>1</v>
      </c>
      <c r="AF86" s="21">
        <v>0.5</v>
      </c>
      <c r="AG86" s="21">
        <v>0</v>
      </c>
      <c r="AH86" s="21">
        <v>0.5</v>
      </c>
      <c r="AI86" s="21">
        <v>0</v>
      </c>
      <c r="AJ86" s="21">
        <v>2</v>
      </c>
      <c r="AK86" s="21">
        <v>0</v>
      </c>
      <c r="AL86" s="21">
        <v>0.5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0.5</v>
      </c>
      <c r="AS86" s="21">
        <v>0.5</v>
      </c>
      <c r="AT86" s="21">
        <v>1</v>
      </c>
      <c r="AU86" s="21">
        <v>0</v>
      </c>
      <c r="AV86" s="21">
        <v>0</v>
      </c>
      <c r="AW86" s="21">
        <v>0</v>
      </c>
      <c r="AX86" s="21">
        <v>0</v>
      </c>
      <c r="AY86" s="21">
        <v>0</v>
      </c>
      <c r="AZ86" s="21">
        <v>0</v>
      </c>
      <c r="BA86" s="21">
        <v>0</v>
      </c>
      <c r="BB86" s="21">
        <v>0</v>
      </c>
      <c r="BC86" s="21">
        <v>0</v>
      </c>
      <c r="BD86" s="21">
        <v>0</v>
      </c>
      <c r="BE86" s="21">
        <v>0.5</v>
      </c>
      <c r="BF86" s="21">
        <v>0</v>
      </c>
      <c r="BG86" s="21">
        <v>0</v>
      </c>
      <c r="BH86" s="21">
        <v>0</v>
      </c>
      <c r="BI86" s="21">
        <v>0</v>
      </c>
      <c r="BJ86" s="21">
        <v>0</v>
      </c>
      <c r="BK86" s="21">
        <v>0</v>
      </c>
      <c r="BL86" s="21">
        <v>0.5</v>
      </c>
      <c r="BM86" s="21">
        <v>0</v>
      </c>
      <c r="BN86" s="21">
        <v>0</v>
      </c>
      <c r="BO86" s="21">
        <v>0.5</v>
      </c>
      <c r="BP86" s="21">
        <v>0</v>
      </c>
      <c r="BQ86" s="21">
        <v>0</v>
      </c>
      <c r="BR86" s="21">
        <v>0</v>
      </c>
      <c r="BS86" s="21">
        <v>0</v>
      </c>
      <c r="BT86" s="21">
        <v>0</v>
      </c>
      <c r="BU86" s="21">
        <v>0</v>
      </c>
      <c r="BV86" s="21">
        <v>0</v>
      </c>
      <c r="BW86" s="21">
        <v>0</v>
      </c>
      <c r="BX86" s="21">
        <v>1</v>
      </c>
      <c r="BY86" s="21">
        <v>0.5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1</v>
      </c>
      <c r="CG86" s="21">
        <v>0</v>
      </c>
      <c r="CH86" s="21">
        <v>0.5</v>
      </c>
      <c r="CI86" s="21">
        <v>1</v>
      </c>
      <c r="CJ86" s="21">
        <v>1</v>
      </c>
      <c r="CK86" s="21">
        <v>0.5</v>
      </c>
      <c r="CL86" s="21">
        <v>0.5</v>
      </c>
      <c r="CM86" s="21">
        <v>1</v>
      </c>
      <c r="CN86" s="21">
        <v>0.5</v>
      </c>
      <c r="CO86" s="21">
        <v>0</v>
      </c>
      <c r="CP86" s="21">
        <v>0</v>
      </c>
      <c r="CQ86" s="21">
        <v>2</v>
      </c>
      <c r="CR86" s="21">
        <v>0</v>
      </c>
      <c r="CS86" s="21">
        <v>0</v>
      </c>
      <c r="CT86" s="21">
        <v>2</v>
      </c>
      <c r="CU86" s="21">
        <v>0.5</v>
      </c>
      <c r="CV86" s="21">
        <v>1</v>
      </c>
      <c r="CW86" s="21">
        <v>0</v>
      </c>
      <c r="CX86" s="21">
        <v>0</v>
      </c>
      <c r="CY86" s="21">
        <v>0</v>
      </c>
      <c r="CZ86" s="21">
        <v>0</v>
      </c>
      <c r="DA86" s="21">
        <v>0.5</v>
      </c>
      <c r="DB86" s="21">
        <v>0</v>
      </c>
      <c r="DC86" s="21">
        <v>0</v>
      </c>
    </row>
    <row r="87" spans="1:107" x14ac:dyDescent="0.25">
      <c r="A87" t="s">
        <v>678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1</v>
      </c>
      <c r="U87">
        <v>0</v>
      </c>
      <c r="V87">
        <v>0.5</v>
      </c>
      <c r="W87">
        <v>0</v>
      </c>
      <c r="X87">
        <v>0</v>
      </c>
      <c r="Y87">
        <v>0</v>
      </c>
      <c r="Z87">
        <v>0.5</v>
      </c>
      <c r="AA87">
        <v>0.5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0.5</v>
      </c>
      <c r="AI87">
        <v>0</v>
      </c>
      <c r="AJ87">
        <v>0.5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 s="21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0.5</v>
      </c>
      <c r="CG87">
        <v>0</v>
      </c>
      <c r="CH87">
        <v>0</v>
      </c>
      <c r="CI87" s="21">
        <v>0.5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</row>
    <row r="88" spans="1:107" x14ac:dyDescent="0.25">
      <c r="A88" t="s">
        <v>679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 s="21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0.5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0.5</v>
      </c>
      <c r="CG88">
        <v>0</v>
      </c>
      <c r="CH88">
        <v>0</v>
      </c>
      <c r="CI88" s="21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0.5</v>
      </c>
      <c r="CR88">
        <v>0</v>
      </c>
      <c r="CS88">
        <v>0</v>
      </c>
      <c r="CT88">
        <v>0.5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</row>
    <row r="89" spans="1:107" x14ac:dyDescent="0.25">
      <c r="A89" t="s">
        <v>680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 s="21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 s="21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</row>
    <row r="90" spans="1:107" x14ac:dyDescent="0.25">
      <c r="A90" t="s">
        <v>681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  <c r="H90">
        <v>0</v>
      </c>
      <c r="I90">
        <v>0</v>
      </c>
      <c r="J90">
        <v>0.5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0.5</v>
      </c>
      <c r="Z90">
        <v>1</v>
      </c>
      <c r="AA90">
        <v>0.5</v>
      </c>
      <c r="AB90">
        <v>1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0.5</v>
      </c>
      <c r="AI90">
        <v>0</v>
      </c>
      <c r="AJ90">
        <v>0</v>
      </c>
      <c r="AK90">
        <v>1</v>
      </c>
      <c r="AL90">
        <v>0</v>
      </c>
      <c r="AM90">
        <v>1</v>
      </c>
      <c r="AN90">
        <v>0</v>
      </c>
      <c r="AO90">
        <v>0.5</v>
      </c>
      <c r="AP90">
        <v>0</v>
      </c>
      <c r="AQ90">
        <v>2</v>
      </c>
      <c r="AR90">
        <v>0</v>
      </c>
      <c r="AS90">
        <v>0</v>
      </c>
      <c r="AT90" s="21">
        <v>0.5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0.5</v>
      </c>
      <c r="BW90">
        <v>1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0.5</v>
      </c>
      <c r="CD90">
        <v>0</v>
      </c>
      <c r="CE90">
        <v>0.5</v>
      </c>
      <c r="CF90">
        <v>0.5</v>
      </c>
      <c r="CG90">
        <v>0</v>
      </c>
      <c r="CH90">
        <v>0.5</v>
      </c>
      <c r="CI90" s="21">
        <v>0.5</v>
      </c>
      <c r="CJ90">
        <v>1</v>
      </c>
      <c r="CK90">
        <v>0.5</v>
      </c>
      <c r="CL90">
        <v>0.5</v>
      </c>
      <c r="CM90">
        <v>2</v>
      </c>
      <c r="CN90">
        <v>0</v>
      </c>
      <c r="CO90">
        <v>0.5</v>
      </c>
      <c r="CP90">
        <v>0</v>
      </c>
      <c r="CQ90">
        <v>0.5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</row>
    <row r="91" spans="1:107" x14ac:dyDescent="0.25">
      <c r="A91" t="s">
        <v>682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0.5</v>
      </c>
      <c r="I91">
        <v>0.5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 s="2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1</v>
      </c>
      <c r="CA91">
        <v>0.5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 s="2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</row>
    <row r="92" spans="1:107" x14ac:dyDescent="0.25">
      <c r="A92" t="s">
        <v>683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0.5</v>
      </c>
      <c r="Z92">
        <v>0</v>
      </c>
      <c r="AA92">
        <v>0</v>
      </c>
      <c r="AB92">
        <v>0.5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0.5</v>
      </c>
      <c r="AM92">
        <v>0.5</v>
      </c>
      <c r="AN92">
        <v>0</v>
      </c>
      <c r="AO92">
        <v>0</v>
      </c>
      <c r="AP92">
        <v>0</v>
      </c>
      <c r="AQ92">
        <v>0.5</v>
      </c>
      <c r="AR92">
        <v>0.5</v>
      </c>
      <c r="AS92">
        <v>0</v>
      </c>
      <c r="AT92" s="21">
        <v>2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 s="21">
        <v>0</v>
      </c>
      <c r="CJ92">
        <v>1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</row>
    <row r="93" spans="1:107" x14ac:dyDescent="0.25">
      <c r="A93" t="s">
        <v>684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0.5</v>
      </c>
      <c r="AB93">
        <v>0</v>
      </c>
      <c r="AC93">
        <v>0.5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 s="21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0.5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 s="21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</row>
    <row r="94" spans="1:107" x14ac:dyDescent="0.25">
      <c r="A94" t="s">
        <v>685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0.5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 s="21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 s="21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</row>
    <row r="95" spans="1:107" x14ac:dyDescent="0.25">
      <c r="A95" t="s">
        <v>256</v>
      </c>
      <c r="B95">
        <v>0</v>
      </c>
      <c r="C95">
        <v>0</v>
      </c>
      <c r="D95">
        <v>0</v>
      </c>
      <c r="E95">
        <v>0</v>
      </c>
      <c r="F95">
        <v>0.5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1</v>
      </c>
      <c r="Q95">
        <v>1</v>
      </c>
      <c r="R95">
        <v>0</v>
      </c>
      <c r="S95">
        <v>0</v>
      </c>
      <c r="T95">
        <v>0</v>
      </c>
      <c r="U95">
        <v>0</v>
      </c>
      <c r="V95">
        <v>0.5</v>
      </c>
      <c r="W95">
        <v>0.5</v>
      </c>
      <c r="X95">
        <v>0.5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0.5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>
        <v>0</v>
      </c>
      <c r="AT95" s="21">
        <v>2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0.5</v>
      </c>
      <c r="BM95">
        <v>0</v>
      </c>
      <c r="BN95">
        <v>0</v>
      </c>
      <c r="BO95">
        <v>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 s="21">
        <v>0</v>
      </c>
      <c r="CJ95">
        <v>0</v>
      </c>
      <c r="CK95">
        <v>0</v>
      </c>
      <c r="CL95">
        <v>0</v>
      </c>
      <c r="CM95">
        <v>0.5</v>
      </c>
      <c r="CN95">
        <v>0</v>
      </c>
      <c r="CO95">
        <v>0</v>
      </c>
      <c r="CP95">
        <v>0</v>
      </c>
      <c r="CQ95">
        <v>0.5</v>
      </c>
      <c r="CR95">
        <v>0</v>
      </c>
      <c r="CS95">
        <v>0</v>
      </c>
      <c r="CT95">
        <v>0</v>
      </c>
      <c r="CU95">
        <v>0.5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</row>
    <row r="96" spans="1:107" x14ac:dyDescent="0.25">
      <c r="A96" t="s">
        <v>686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0.5</v>
      </c>
      <c r="AT96" s="21">
        <v>0.5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 s="21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0.5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</row>
    <row r="97" spans="1:107" x14ac:dyDescent="0.25">
      <c r="A97" t="s">
        <v>687</v>
      </c>
      <c r="B97">
        <v>0</v>
      </c>
      <c r="C97">
        <v>0.5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0.5</v>
      </c>
      <c r="L97">
        <v>0</v>
      </c>
      <c r="M97">
        <v>1</v>
      </c>
      <c r="N97">
        <v>0</v>
      </c>
      <c r="O97">
        <v>0</v>
      </c>
      <c r="P97">
        <v>0.5</v>
      </c>
      <c r="Q97">
        <v>0</v>
      </c>
      <c r="R97">
        <v>0.5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0.5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 s="21">
        <v>0.5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0.5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0.5</v>
      </c>
      <c r="CF97">
        <v>0</v>
      </c>
      <c r="CG97">
        <v>0</v>
      </c>
      <c r="CH97">
        <v>0</v>
      </c>
      <c r="CI97" s="21">
        <v>0</v>
      </c>
      <c r="CJ97">
        <v>0</v>
      </c>
      <c r="CK97">
        <v>0</v>
      </c>
      <c r="CL97">
        <v>0.5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0.5</v>
      </c>
      <c r="CU97">
        <v>0</v>
      </c>
      <c r="CV97">
        <v>0</v>
      </c>
      <c r="CW97">
        <v>0</v>
      </c>
      <c r="CX97">
        <v>0</v>
      </c>
      <c r="CY97">
        <v>0.5</v>
      </c>
      <c r="CZ97">
        <v>0</v>
      </c>
      <c r="DA97">
        <v>0</v>
      </c>
      <c r="DB97">
        <v>0</v>
      </c>
      <c r="DC97">
        <v>0</v>
      </c>
    </row>
    <row r="98" spans="1:107" x14ac:dyDescent="0.25">
      <c r="A98" t="s">
        <v>688</v>
      </c>
      <c r="B98">
        <v>3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0.5</v>
      </c>
      <c r="N98">
        <v>1</v>
      </c>
      <c r="O98">
        <v>0</v>
      </c>
      <c r="P98">
        <v>2</v>
      </c>
      <c r="Q98">
        <v>0.5</v>
      </c>
      <c r="R98">
        <v>0</v>
      </c>
      <c r="S98">
        <v>4</v>
      </c>
      <c r="T98">
        <v>4</v>
      </c>
      <c r="U98">
        <v>3</v>
      </c>
      <c r="V98">
        <v>2</v>
      </c>
      <c r="W98">
        <v>0</v>
      </c>
      <c r="X98">
        <v>0.5</v>
      </c>
      <c r="Y98">
        <v>0</v>
      </c>
      <c r="Z98">
        <v>0</v>
      </c>
      <c r="AA98">
        <v>0</v>
      </c>
      <c r="AB98">
        <v>0</v>
      </c>
      <c r="AC98">
        <v>0</v>
      </c>
      <c r="AD98">
        <v>2</v>
      </c>
      <c r="AE98">
        <v>0</v>
      </c>
      <c r="AF98">
        <v>0</v>
      </c>
      <c r="AG98">
        <v>0</v>
      </c>
      <c r="AH98">
        <v>0</v>
      </c>
      <c r="AI98">
        <v>2</v>
      </c>
      <c r="AJ98">
        <v>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0.5</v>
      </c>
      <c r="AS98">
        <v>0</v>
      </c>
      <c r="AT98" s="21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 s="21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4</v>
      </c>
      <c r="CR98">
        <v>0</v>
      </c>
      <c r="CS98">
        <v>0</v>
      </c>
      <c r="CT98">
        <v>2</v>
      </c>
      <c r="CU98">
        <v>0</v>
      </c>
      <c r="CV98">
        <v>0.5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</row>
    <row r="99" spans="1:107" x14ac:dyDescent="0.25">
      <c r="A99" t="s">
        <v>689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 s="21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 s="21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0.5</v>
      </c>
      <c r="CU99">
        <v>0.5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</row>
    <row r="100" spans="1:107" x14ac:dyDescent="0.25">
      <c r="A100" t="s">
        <v>690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0.5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0.5</v>
      </c>
      <c r="U100">
        <v>0</v>
      </c>
      <c r="V100">
        <v>0</v>
      </c>
      <c r="W100">
        <v>0.5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0.5</v>
      </c>
      <c r="AI100">
        <v>0.5</v>
      </c>
      <c r="AJ100">
        <v>0.5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 s="21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 s="21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</row>
    <row r="101" spans="1:107" x14ac:dyDescent="0.25">
      <c r="A101" t="s">
        <v>691</v>
      </c>
      <c r="B101">
        <v>0</v>
      </c>
      <c r="C101">
        <v>0</v>
      </c>
      <c r="D101">
        <v>1</v>
      </c>
      <c r="E101">
        <v>0</v>
      </c>
      <c r="F101">
        <v>3</v>
      </c>
      <c r="G101">
        <v>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0.5</v>
      </c>
      <c r="Q101">
        <v>0</v>
      </c>
      <c r="R101">
        <v>0.5</v>
      </c>
      <c r="S101">
        <v>0</v>
      </c>
      <c r="T101">
        <v>0</v>
      </c>
      <c r="U101">
        <v>0</v>
      </c>
      <c r="V101">
        <v>0</v>
      </c>
      <c r="W101">
        <v>2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2</v>
      </c>
      <c r="AD101">
        <v>2</v>
      </c>
      <c r="AE101">
        <v>1</v>
      </c>
      <c r="AF101">
        <v>3</v>
      </c>
      <c r="AG101">
        <v>0</v>
      </c>
      <c r="AH101">
        <v>0</v>
      </c>
      <c r="AI101">
        <v>0.5</v>
      </c>
      <c r="AJ101">
        <v>0</v>
      </c>
      <c r="AK101">
        <v>0</v>
      </c>
      <c r="AL101">
        <v>0</v>
      </c>
      <c r="AM101">
        <v>0.5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 s="21">
        <v>0</v>
      </c>
      <c r="AU101">
        <v>0</v>
      </c>
      <c r="AV101">
        <v>0</v>
      </c>
      <c r="AW101">
        <v>1</v>
      </c>
      <c r="AX101">
        <v>0</v>
      </c>
      <c r="AY101">
        <v>2</v>
      </c>
      <c r="AZ101">
        <v>4</v>
      </c>
      <c r="BA101">
        <v>3</v>
      </c>
      <c r="BB101">
        <v>0</v>
      </c>
      <c r="BC101">
        <v>4</v>
      </c>
      <c r="BD101">
        <v>0</v>
      </c>
      <c r="BE101">
        <v>4</v>
      </c>
      <c r="BF101">
        <v>0</v>
      </c>
      <c r="BG101">
        <v>0</v>
      </c>
      <c r="BH101">
        <v>0</v>
      </c>
      <c r="BI101">
        <v>0</v>
      </c>
      <c r="BJ101">
        <v>3</v>
      </c>
      <c r="BK101">
        <v>4</v>
      </c>
      <c r="BL101">
        <v>0</v>
      </c>
      <c r="BM101">
        <v>2</v>
      </c>
      <c r="BN101">
        <v>0</v>
      </c>
      <c r="BO101">
        <v>2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</v>
      </c>
      <c r="BY101">
        <v>1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 s="21">
        <v>0</v>
      </c>
      <c r="CJ101">
        <v>0</v>
      </c>
      <c r="CK101">
        <v>0</v>
      </c>
      <c r="CL101">
        <v>0</v>
      </c>
      <c r="CM101">
        <v>3</v>
      </c>
      <c r="CN101">
        <v>4</v>
      </c>
      <c r="CO101">
        <v>0</v>
      </c>
      <c r="CP101">
        <v>3</v>
      </c>
      <c r="CQ101">
        <v>0</v>
      </c>
      <c r="CR101">
        <v>0</v>
      </c>
      <c r="CS101">
        <v>0</v>
      </c>
      <c r="CT101">
        <v>0</v>
      </c>
      <c r="CU101">
        <v>1</v>
      </c>
      <c r="CV101">
        <v>1</v>
      </c>
      <c r="CW101">
        <v>0</v>
      </c>
      <c r="CX101">
        <v>0</v>
      </c>
      <c r="CY101">
        <v>0</v>
      </c>
      <c r="CZ101">
        <v>0.5</v>
      </c>
      <c r="DA101">
        <v>0</v>
      </c>
      <c r="DB101">
        <v>0</v>
      </c>
      <c r="DC101">
        <v>2</v>
      </c>
    </row>
    <row r="102" spans="1:107" x14ac:dyDescent="0.25">
      <c r="A102" t="s">
        <v>692</v>
      </c>
      <c r="B102">
        <v>1</v>
      </c>
      <c r="C102">
        <v>0.5</v>
      </c>
      <c r="D102">
        <v>0</v>
      </c>
      <c r="E102">
        <v>0.5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0.5</v>
      </c>
      <c r="L102">
        <v>0.5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0.5</v>
      </c>
      <c r="S102">
        <v>1</v>
      </c>
      <c r="T102">
        <v>0.5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 s="21">
        <v>0</v>
      </c>
      <c r="AU102">
        <v>0</v>
      </c>
      <c r="AV102">
        <v>0</v>
      </c>
      <c r="AW102">
        <v>0</v>
      </c>
      <c r="AX102">
        <v>0</v>
      </c>
      <c r="AY102">
        <v>0.5</v>
      </c>
      <c r="AZ102">
        <v>2</v>
      </c>
      <c r="BA102">
        <v>2</v>
      </c>
      <c r="BB102">
        <v>0</v>
      </c>
      <c r="BC102">
        <v>1</v>
      </c>
      <c r="BD102">
        <v>0</v>
      </c>
      <c r="BE102">
        <v>2</v>
      </c>
      <c r="BF102">
        <v>1</v>
      </c>
      <c r="BG102">
        <v>0</v>
      </c>
      <c r="BH102">
        <v>0</v>
      </c>
      <c r="BI102">
        <v>0.5</v>
      </c>
      <c r="BJ102">
        <v>1</v>
      </c>
      <c r="BK102">
        <v>1</v>
      </c>
      <c r="BL102">
        <v>0.5</v>
      </c>
      <c r="BM102">
        <v>0</v>
      </c>
      <c r="BN102">
        <v>0</v>
      </c>
      <c r="BO102">
        <v>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0.5</v>
      </c>
      <c r="BX102">
        <v>1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0.5</v>
      </c>
      <c r="CH102">
        <v>0</v>
      </c>
      <c r="CI102" s="21">
        <v>0</v>
      </c>
      <c r="CJ102">
        <v>0</v>
      </c>
      <c r="CK102">
        <v>0</v>
      </c>
      <c r="CL102">
        <v>0.5</v>
      </c>
      <c r="CM102">
        <v>2</v>
      </c>
      <c r="CN102">
        <v>5</v>
      </c>
      <c r="CO102">
        <v>0</v>
      </c>
      <c r="CP102">
        <v>2</v>
      </c>
      <c r="CQ102">
        <v>0</v>
      </c>
      <c r="CR102">
        <v>0</v>
      </c>
      <c r="CS102">
        <v>0.5</v>
      </c>
      <c r="CT102">
        <v>0.5</v>
      </c>
      <c r="CU102">
        <v>0.5</v>
      </c>
      <c r="CV102">
        <v>0</v>
      </c>
      <c r="CW102">
        <v>0</v>
      </c>
      <c r="CX102">
        <v>0</v>
      </c>
      <c r="CY102">
        <v>0</v>
      </c>
      <c r="CZ102">
        <v>0.5</v>
      </c>
      <c r="DA102">
        <v>0.5</v>
      </c>
      <c r="DB102">
        <v>0</v>
      </c>
      <c r="DC102">
        <v>0.5</v>
      </c>
    </row>
    <row r="103" spans="1:107" x14ac:dyDescent="0.25">
      <c r="A103" t="s">
        <v>693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2</v>
      </c>
      <c r="AR103">
        <v>0</v>
      </c>
      <c r="AS103">
        <v>0</v>
      </c>
      <c r="AT103" s="21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0.5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 s="21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</row>
    <row r="104" spans="1:107" x14ac:dyDescent="0.25">
      <c r="A104" t="s">
        <v>694</v>
      </c>
      <c r="B104">
        <v>0</v>
      </c>
      <c r="C104">
        <v>0</v>
      </c>
      <c r="D104">
        <v>0.5</v>
      </c>
      <c r="E104">
        <v>0.5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 s="21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 s="21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</row>
    <row r="105" spans="1:107" x14ac:dyDescent="0.25">
      <c r="A105" t="s">
        <v>695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0.5</v>
      </c>
      <c r="W105">
        <v>0</v>
      </c>
      <c r="X105">
        <v>0</v>
      </c>
      <c r="Y105">
        <v>0</v>
      </c>
      <c r="Z105">
        <v>0.5</v>
      </c>
      <c r="AA105">
        <v>0.5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 s="21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0.5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0.5</v>
      </c>
      <c r="CG105">
        <v>0</v>
      </c>
      <c r="CH105">
        <v>0</v>
      </c>
      <c r="CI105" s="21">
        <v>0.5</v>
      </c>
      <c r="CJ105">
        <v>0.5</v>
      </c>
      <c r="CK105">
        <v>0</v>
      </c>
      <c r="CL105">
        <v>0.5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0.5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</row>
    <row r="106" spans="1:107" x14ac:dyDescent="0.25">
      <c r="A106" t="s">
        <v>696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0.5</v>
      </c>
      <c r="K106">
        <v>0</v>
      </c>
      <c r="L106">
        <v>0</v>
      </c>
      <c r="M106">
        <v>0</v>
      </c>
      <c r="N106">
        <v>0.5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0.5</v>
      </c>
      <c r="Z106">
        <v>0</v>
      </c>
      <c r="AA106">
        <v>0.5</v>
      </c>
      <c r="AB106">
        <v>0.5</v>
      </c>
      <c r="AC106">
        <v>0.5</v>
      </c>
      <c r="AD106">
        <v>0</v>
      </c>
      <c r="AE106">
        <v>0</v>
      </c>
      <c r="AF106">
        <v>0.5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0.5</v>
      </c>
      <c r="AN106">
        <v>0</v>
      </c>
      <c r="AO106">
        <v>0</v>
      </c>
      <c r="AP106">
        <v>0.5</v>
      </c>
      <c r="AQ106">
        <v>1</v>
      </c>
      <c r="AR106">
        <v>0</v>
      </c>
      <c r="AS106">
        <v>0</v>
      </c>
      <c r="AT106" s="21">
        <v>0.5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3</v>
      </c>
      <c r="BY106">
        <v>0</v>
      </c>
      <c r="BZ106">
        <v>0</v>
      </c>
      <c r="CA106">
        <v>0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</v>
      </c>
      <c r="CI106" s="21">
        <v>0.5</v>
      </c>
      <c r="CJ106">
        <v>0.5</v>
      </c>
      <c r="CK106">
        <v>1</v>
      </c>
      <c r="CL106">
        <v>0</v>
      </c>
      <c r="CM106">
        <v>0.5</v>
      </c>
      <c r="CN106">
        <v>0.5</v>
      </c>
      <c r="CO106">
        <v>0.5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</row>
    <row r="107" spans="1:107" x14ac:dyDescent="0.25">
      <c r="A107" t="s">
        <v>697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 s="21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0.5</v>
      </c>
      <c r="CG107">
        <v>0</v>
      </c>
      <c r="CH107">
        <v>0</v>
      </c>
      <c r="CI107" s="21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</row>
    <row r="108" spans="1:107" x14ac:dyDescent="0.25">
      <c r="A108" t="s">
        <v>698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 s="21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 s="21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3</v>
      </c>
      <c r="CZ108">
        <v>0</v>
      </c>
      <c r="DA108">
        <v>0</v>
      </c>
      <c r="DB108">
        <v>0</v>
      </c>
      <c r="DC108">
        <v>0</v>
      </c>
    </row>
    <row r="109" spans="1:107" x14ac:dyDescent="0.25">
      <c r="A109" t="s">
        <v>699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 s="21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 s="21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1</v>
      </c>
      <c r="CZ109">
        <v>0</v>
      </c>
      <c r="DA109">
        <v>0</v>
      </c>
      <c r="DB109">
        <v>0</v>
      </c>
      <c r="DC109">
        <v>0</v>
      </c>
    </row>
    <row r="110" spans="1:107" x14ac:dyDescent="0.25">
      <c r="A110" s="7" t="s">
        <v>1441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0.5</v>
      </c>
      <c r="I110">
        <v>0</v>
      </c>
      <c r="J110">
        <v>0.5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0.5</v>
      </c>
      <c r="AD110">
        <v>0</v>
      </c>
      <c r="AE110">
        <v>0</v>
      </c>
      <c r="AF110">
        <v>0</v>
      </c>
      <c r="AG110">
        <v>0.5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0.5</v>
      </c>
      <c r="AQ110">
        <v>0</v>
      </c>
      <c r="AR110">
        <v>0</v>
      </c>
      <c r="AS110">
        <v>0</v>
      </c>
      <c r="AT110" s="21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0.5</v>
      </c>
      <c r="CF110">
        <v>0.5</v>
      </c>
      <c r="CG110">
        <v>0.5</v>
      </c>
      <c r="CH110">
        <v>0</v>
      </c>
      <c r="CI110" s="21">
        <v>0</v>
      </c>
      <c r="CJ110">
        <v>0</v>
      </c>
      <c r="CK110">
        <v>0</v>
      </c>
      <c r="CL110">
        <v>0.5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</row>
    <row r="111" spans="1:107" x14ac:dyDescent="0.25">
      <c r="A111" t="s">
        <v>700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0.5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 s="21">
        <v>0.5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0.5</v>
      </c>
      <c r="BW111">
        <v>0.5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0.5</v>
      </c>
      <c r="CG111">
        <v>0.5</v>
      </c>
      <c r="CH111">
        <v>0</v>
      </c>
      <c r="CI111" s="21">
        <v>0.5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</row>
    <row r="112" spans="1:107" x14ac:dyDescent="0.25">
      <c r="A112" t="s">
        <v>701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0.5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 s="21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 s="21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0.5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</row>
    <row r="113" spans="1:107" x14ac:dyDescent="0.25">
      <c r="A113" t="s">
        <v>702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0.5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 s="21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 s="21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</row>
    <row r="114" spans="1:107" x14ac:dyDescent="0.25">
      <c r="A114" s="7" t="s">
        <v>1442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0.5</v>
      </c>
      <c r="AM114">
        <v>0.5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 s="21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 s="21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</row>
    <row r="115" spans="1:107" x14ac:dyDescent="0.25">
      <c r="A115" t="s">
        <v>703</v>
      </c>
      <c r="B115">
        <v>0.5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0.5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0.5</v>
      </c>
      <c r="AF115">
        <v>0.5</v>
      </c>
      <c r="AG115">
        <v>0</v>
      </c>
      <c r="AH115">
        <v>0</v>
      </c>
      <c r="AI115">
        <v>0</v>
      </c>
      <c r="AJ115">
        <v>0.5</v>
      </c>
      <c r="AK115">
        <v>0.5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 s="21">
        <v>0</v>
      </c>
      <c r="AU115">
        <v>0</v>
      </c>
      <c r="AV115">
        <v>0</v>
      </c>
      <c r="AW115">
        <v>0</v>
      </c>
      <c r="AX115">
        <v>0</v>
      </c>
      <c r="AY115">
        <v>0.5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2</v>
      </c>
      <c r="BR115">
        <v>5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0.5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 s="21">
        <v>0</v>
      </c>
      <c r="CJ115">
        <v>0.5</v>
      </c>
      <c r="CK115">
        <v>0</v>
      </c>
      <c r="CL115">
        <v>0</v>
      </c>
      <c r="CM115">
        <v>0</v>
      </c>
      <c r="CN115">
        <v>0.5</v>
      </c>
      <c r="CO115">
        <v>0</v>
      </c>
      <c r="CP115">
        <v>0</v>
      </c>
      <c r="CQ115">
        <v>0.5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0.5</v>
      </c>
      <c r="DA115">
        <v>0</v>
      </c>
      <c r="DB115">
        <v>0</v>
      </c>
      <c r="DC115">
        <v>0</v>
      </c>
    </row>
    <row r="116" spans="1:107" x14ac:dyDescent="0.25">
      <c r="A116" t="s">
        <v>704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 s="21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1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 s="21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0.5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</row>
    <row r="117" spans="1:107" x14ac:dyDescent="0.25">
      <c r="A117" t="s">
        <v>705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 s="21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 s="21">
        <v>0</v>
      </c>
      <c r="CJ117">
        <v>0</v>
      </c>
      <c r="CK117">
        <v>0</v>
      </c>
      <c r="CL117">
        <v>0</v>
      </c>
      <c r="CM117">
        <v>1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</row>
    <row r="118" spans="1:107" x14ac:dyDescent="0.25">
      <c r="A118" t="s">
        <v>706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 s="21">
        <v>0.5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 s="21">
        <v>0</v>
      </c>
      <c r="CJ118">
        <v>0</v>
      </c>
      <c r="CK118">
        <v>0</v>
      </c>
      <c r="CL118">
        <v>0</v>
      </c>
      <c r="CM118">
        <v>0</v>
      </c>
      <c r="CN118">
        <v>0.5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</row>
    <row r="119" spans="1:107" s="21" customFormat="1" x14ac:dyDescent="0.25">
      <c r="A119" s="21" t="s">
        <v>707</v>
      </c>
      <c r="B119" s="21">
        <v>0</v>
      </c>
      <c r="C119" s="21">
        <v>0</v>
      </c>
      <c r="D119" s="21">
        <v>0</v>
      </c>
      <c r="E119" s="21">
        <v>0</v>
      </c>
      <c r="F119" s="21">
        <v>0</v>
      </c>
      <c r="G119" s="21">
        <v>0</v>
      </c>
      <c r="H119" s="21">
        <v>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1</v>
      </c>
      <c r="R119" s="21">
        <v>0</v>
      </c>
      <c r="S119" s="21">
        <v>0</v>
      </c>
      <c r="T119" s="21">
        <v>0</v>
      </c>
      <c r="U119" s="21">
        <v>0</v>
      </c>
      <c r="V119" s="21">
        <v>0.5</v>
      </c>
      <c r="W119" s="21">
        <v>0</v>
      </c>
      <c r="X119" s="21">
        <v>0.5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0</v>
      </c>
      <c r="AO119" s="21">
        <v>0</v>
      </c>
      <c r="AP119" s="21">
        <v>0</v>
      </c>
      <c r="AQ119" s="21">
        <v>0</v>
      </c>
      <c r="AR119" s="21">
        <v>0.5</v>
      </c>
      <c r="AS119" s="21">
        <v>0</v>
      </c>
      <c r="AT119" s="21">
        <v>0</v>
      </c>
      <c r="AU119" s="21">
        <v>0</v>
      </c>
      <c r="AV119" s="21">
        <v>0</v>
      </c>
      <c r="AW119" s="21">
        <v>0</v>
      </c>
      <c r="AX119" s="21">
        <v>0</v>
      </c>
      <c r="AY119" s="21">
        <v>0</v>
      </c>
      <c r="AZ119" s="21">
        <v>0</v>
      </c>
      <c r="BA119" s="21">
        <v>0</v>
      </c>
      <c r="BB119" s="21">
        <v>0</v>
      </c>
      <c r="BC119" s="21">
        <v>0</v>
      </c>
      <c r="BD119" s="21">
        <v>0</v>
      </c>
      <c r="BE119" s="21">
        <v>0</v>
      </c>
      <c r="BF119" s="21">
        <v>0</v>
      </c>
      <c r="BG119" s="21">
        <v>0</v>
      </c>
      <c r="BH119" s="21">
        <v>0</v>
      </c>
      <c r="BI119" s="21">
        <v>0</v>
      </c>
      <c r="BJ119" s="21">
        <v>0</v>
      </c>
      <c r="BK119" s="21">
        <v>0</v>
      </c>
      <c r="BL119" s="21">
        <v>0</v>
      </c>
      <c r="BM119" s="21">
        <v>0</v>
      </c>
      <c r="BN119" s="21">
        <v>0</v>
      </c>
      <c r="BO119" s="21">
        <v>0.5</v>
      </c>
      <c r="BP119" s="21">
        <v>0</v>
      </c>
      <c r="BQ119" s="21">
        <v>0</v>
      </c>
      <c r="BR119" s="21">
        <v>0</v>
      </c>
      <c r="BS119" s="21">
        <v>0</v>
      </c>
      <c r="BT119" s="21">
        <v>0</v>
      </c>
      <c r="BU119" s="21">
        <v>0</v>
      </c>
      <c r="BV119" s="21">
        <v>0</v>
      </c>
      <c r="BW119" s="21">
        <v>0</v>
      </c>
      <c r="BX119" s="21">
        <v>0</v>
      </c>
      <c r="BY119" s="21">
        <v>0</v>
      </c>
      <c r="BZ119" s="21">
        <v>0</v>
      </c>
      <c r="CA119" s="21">
        <v>0</v>
      </c>
      <c r="CB119" s="21">
        <v>0</v>
      </c>
      <c r="CC119" s="21">
        <v>0</v>
      </c>
      <c r="CD119" s="21">
        <v>0</v>
      </c>
      <c r="CE119" s="21">
        <v>0</v>
      </c>
      <c r="CF119" s="21">
        <v>0</v>
      </c>
      <c r="CG119" s="21">
        <v>0</v>
      </c>
      <c r="CH119" s="21">
        <v>0</v>
      </c>
      <c r="CI119" s="21">
        <v>0</v>
      </c>
      <c r="CJ119" s="21">
        <v>0</v>
      </c>
      <c r="CK119" s="21">
        <v>0</v>
      </c>
      <c r="CL119" s="21">
        <v>0</v>
      </c>
      <c r="CM119" s="21">
        <v>0</v>
      </c>
      <c r="CN119" s="21">
        <v>0</v>
      </c>
      <c r="CO119" s="21">
        <v>0</v>
      </c>
      <c r="CP119" s="21">
        <v>0</v>
      </c>
      <c r="CQ119" s="21">
        <v>0</v>
      </c>
      <c r="CR119" s="21">
        <v>0</v>
      </c>
      <c r="CS119" s="21">
        <v>0</v>
      </c>
      <c r="CT119" s="21">
        <v>0</v>
      </c>
      <c r="CU119" s="21">
        <v>0</v>
      </c>
      <c r="CV119" s="21">
        <v>0</v>
      </c>
      <c r="CW119" s="21">
        <v>0</v>
      </c>
      <c r="CX119" s="21">
        <v>0</v>
      </c>
      <c r="CY119" s="21">
        <v>0</v>
      </c>
      <c r="CZ119" s="21">
        <v>0</v>
      </c>
      <c r="DA119" s="21">
        <v>0</v>
      </c>
      <c r="DB119" s="21">
        <v>0</v>
      </c>
      <c r="DC119" s="21">
        <v>0</v>
      </c>
    </row>
    <row r="120" spans="1:107" x14ac:dyDescent="0.25">
      <c r="A120" t="s">
        <v>708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0.5</v>
      </c>
      <c r="H120">
        <v>0</v>
      </c>
      <c r="I120">
        <v>0</v>
      </c>
      <c r="J120">
        <v>0.5</v>
      </c>
      <c r="K120">
        <v>0</v>
      </c>
      <c r="L120">
        <v>0</v>
      </c>
      <c r="M120">
        <v>0.5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0.5</v>
      </c>
      <c r="Z120">
        <v>1</v>
      </c>
      <c r="AA120">
        <v>0.5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0.5</v>
      </c>
      <c r="AI120">
        <v>0</v>
      </c>
      <c r="AJ120">
        <v>0</v>
      </c>
      <c r="AK120">
        <v>0.5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 s="21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1</v>
      </c>
      <c r="CC120">
        <v>0</v>
      </c>
      <c r="CD120">
        <v>0.5</v>
      </c>
      <c r="CE120">
        <v>0.5</v>
      </c>
      <c r="CF120">
        <v>0.5</v>
      </c>
      <c r="CG120">
        <v>0.5</v>
      </c>
      <c r="CH120">
        <v>0</v>
      </c>
      <c r="CI120" s="21">
        <v>0.5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1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0.5</v>
      </c>
      <c r="DA120">
        <v>0</v>
      </c>
      <c r="DB120">
        <v>0</v>
      </c>
      <c r="DC120">
        <v>0</v>
      </c>
    </row>
    <row r="121" spans="1:107" x14ac:dyDescent="0.25">
      <c r="A121" t="s">
        <v>709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 s="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0.5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 s="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</row>
    <row r="122" spans="1:107" x14ac:dyDescent="0.25">
      <c r="A122" t="s">
        <v>710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0.5</v>
      </c>
      <c r="I122">
        <v>0.5</v>
      </c>
      <c r="J122">
        <v>0.5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0.5</v>
      </c>
      <c r="AB122">
        <v>0.5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0.5</v>
      </c>
      <c r="AO122">
        <v>0.5</v>
      </c>
      <c r="AP122">
        <v>1</v>
      </c>
      <c r="AQ122">
        <v>0</v>
      </c>
      <c r="AR122">
        <v>0.5</v>
      </c>
      <c r="AS122">
        <v>0.5</v>
      </c>
      <c r="AT122" s="21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0.5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0.5</v>
      </c>
      <c r="CG122">
        <v>0.5</v>
      </c>
      <c r="CH122">
        <v>0</v>
      </c>
      <c r="CI122" s="21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0.5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</row>
    <row r="123" spans="1:107" x14ac:dyDescent="0.25">
      <c r="A123" t="s">
        <v>1425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1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</row>
    <row r="124" spans="1:107" x14ac:dyDescent="0.25">
      <c r="A124" t="s">
        <v>711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 s="21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 s="21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</row>
    <row r="125" spans="1:107" x14ac:dyDescent="0.25">
      <c r="A125" t="s">
        <v>712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 s="21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 s="21">
        <v>0</v>
      </c>
      <c r="CJ125">
        <v>0</v>
      </c>
      <c r="CK125">
        <v>0</v>
      </c>
      <c r="CL125">
        <v>2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</row>
    <row r="126" spans="1:107" x14ac:dyDescent="0.25">
      <c r="A126" t="s">
        <v>713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 s="21">
        <v>0.5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 s="21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</row>
    <row r="127" spans="1:107" s="21" customFormat="1" x14ac:dyDescent="0.25">
      <c r="A127" s="21" t="s">
        <v>714</v>
      </c>
      <c r="B127" s="21">
        <v>0</v>
      </c>
      <c r="C127" s="21">
        <v>0</v>
      </c>
      <c r="D127" s="21">
        <v>0</v>
      </c>
      <c r="E127" s="21">
        <v>0</v>
      </c>
      <c r="F127" s="21">
        <v>0.5</v>
      </c>
      <c r="G127" s="21">
        <v>0.5</v>
      </c>
      <c r="H127" s="21">
        <v>0</v>
      </c>
      <c r="I127" s="21">
        <v>0</v>
      </c>
      <c r="J127" s="21">
        <v>0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1">
        <v>0</v>
      </c>
      <c r="R127" s="21">
        <v>0</v>
      </c>
      <c r="S127" s="21">
        <v>0</v>
      </c>
      <c r="T127" s="21">
        <v>0</v>
      </c>
      <c r="U127" s="21">
        <v>0</v>
      </c>
      <c r="V127" s="21">
        <v>0</v>
      </c>
      <c r="W127" s="21">
        <v>0</v>
      </c>
      <c r="X127" s="21">
        <v>0</v>
      </c>
      <c r="Y127" s="21">
        <v>1</v>
      </c>
      <c r="Z127" s="21">
        <v>0</v>
      </c>
      <c r="AA127" s="21">
        <v>0</v>
      </c>
      <c r="AB127" s="21">
        <v>0</v>
      </c>
      <c r="AC127" s="21">
        <v>0</v>
      </c>
      <c r="AD127" s="21">
        <v>0</v>
      </c>
      <c r="AE127" s="21">
        <v>0</v>
      </c>
      <c r="AF127" s="21">
        <v>0</v>
      </c>
      <c r="AG127" s="21">
        <v>0</v>
      </c>
      <c r="AH127" s="21">
        <v>0.5</v>
      </c>
      <c r="AI127" s="21">
        <v>0</v>
      </c>
      <c r="AJ127" s="21">
        <v>0</v>
      </c>
      <c r="AK127" s="21">
        <v>2</v>
      </c>
      <c r="AL127" s="21">
        <v>0</v>
      </c>
      <c r="AM127" s="21">
        <v>2</v>
      </c>
      <c r="AN127" s="21">
        <v>0</v>
      </c>
      <c r="AO127" s="21">
        <v>0</v>
      </c>
      <c r="AP127" s="21">
        <v>0</v>
      </c>
      <c r="AQ127" s="21">
        <v>0.5</v>
      </c>
      <c r="AR127" s="21">
        <v>0</v>
      </c>
      <c r="AS127" s="21">
        <v>0</v>
      </c>
      <c r="AT127" s="21">
        <v>0</v>
      </c>
      <c r="AU127" s="21">
        <v>0</v>
      </c>
      <c r="AV127" s="21">
        <v>0</v>
      </c>
      <c r="AW127" s="21">
        <v>0</v>
      </c>
      <c r="AX127" s="21">
        <v>0</v>
      </c>
      <c r="AY127" s="21">
        <v>0</v>
      </c>
      <c r="AZ127" s="21">
        <v>0</v>
      </c>
      <c r="BA127" s="21">
        <v>0</v>
      </c>
      <c r="BB127" s="21">
        <v>0</v>
      </c>
      <c r="BC127" s="21">
        <v>0</v>
      </c>
      <c r="BD127" s="21">
        <v>0</v>
      </c>
      <c r="BE127" s="21">
        <v>0</v>
      </c>
      <c r="BF127" s="21">
        <v>0</v>
      </c>
      <c r="BG127" s="21">
        <v>0</v>
      </c>
      <c r="BH127" s="21">
        <v>0</v>
      </c>
      <c r="BI127" s="21">
        <v>0</v>
      </c>
      <c r="BJ127" s="21">
        <v>0</v>
      </c>
      <c r="BK127" s="21">
        <v>0</v>
      </c>
      <c r="BL127" s="21">
        <v>0</v>
      </c>
      <c r="BM127" s="21">
        <v>0</v>
      </c>
      <c r="BN127" s="21">
        <v>0</v>
      </c>
      <c r="BO127" s="21">
        <v>0</v>
      </c>
      <c r="BP127" s="21">
        <v>0</v>
      </c>
      <c r="BQ127" s="21">
        <v>0</v>
      </c>
      <c r="BR127" s="21">
        <v>0</v>
      </c>
      <c r="BS127" s="21">
        <v>0</v>
      </c>
      <c r="BT127" s="21">
        <v>0</v>
      </c>
      <c r="BU127" s="21">
        <v>0</v>
      </c>
      <c r="BV127" s="21">
        <v>0</v>
      </c>
      <c r="BW127" s="21">
        <v>0</v>
      </c>
      <c r="BX127" s="21">
        <v>0</v>
      </c>
      <c r="BY127" s="21">
        <v>0</v>
      </c>
      <c r="BZ127" s="21">
        <v>0</v>
      </c>
      <c r="CA127" s="21">
        <v>0</v>
      </c>
      <c r="CB127" s="21">
        <v>0</v>
      </c>
      <c r="CC127" s="21">
        <v>0</v>
      </c>
      <c r="CD127" s="21">
        <v>0</v>
      </c>
      <c r="CE127" s="21">
        <v>0</v>
      </c>
      <c r="CF127" s="21">
        <v>1</v>
      </c>
      <c r="CG127" s="21">
        <v>0</v>
      </c>
      <c r="CH127" s="21">
        <v>0.5</v>
      </c>
      <c r="CI127" s="21">
        <v>0</v>
      </c>
      <c r="CJ127" s="21">
        <v>0</v>
      </c>
      <c r="CK127" s="21">
        <v>1</v>
      </c>
      <c r="CL127" s="21">
        <v>1</v>
      </c>
      <c r="CM127" s="21">
        <v>0.5</v>
      </c>
      <c r="CN127" s="21">
        <v>0</v>
      </c>
      <c r="CO127" s="21">
        <v>0</v>
      </c>
      <c r="CP127" s="21">
        <v>1</v>
      </c>
      <c r="CQ127" s="21">
        <v>1</v>
      </c>
      <c r="CR127" s="21">
        <v>0</v>
      </c>
      <c r="CS127" s="21">
        <v>0</v>
      </c>
      <c r="CT127" s="21">
        <v>0</v>
      </c>
      <c r="CU127" s="21">
        <v>0</v>
      </c>
      <c r="CV127" s="21">
        <v>0</v>
      </c>
      <c r="CW127" s="21">
        <v>0</v>
      </c>
      <c r="CX127" s="21">
        <v>0</v>
      </c>
      <c r="CY127" s="21">
        <v>0</v>
      </c>
      <c r="CZ127" s="21">
        <v>0</v>
      </c>
      <c r="DA127" s="21">
        <v>0</v>
      </c>
      <c r="DB127" s="21">
        <v>0</v>
      </c>
      <c r="DC127" s="21">
        <v>0</v>
      </c>
    </row>
    <row r="128" spans="1:107" x14ac:dyDescent="0.25">
      <c r="A128" t="s">
        <v>715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0.5</v>
      </c>
      <c r="AM128">
        <v>2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 s="21">
        <v>0.5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2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2</v>
      </c>
      <c r="CI128" s="21">
        <v>0</v>
      </c>
      <c r="CJ128">
        <v>0.5</v>
      </c>
      <c r="CK128">
        <v>2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0.5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</row>
    <row r="129" spans="1:107" x14ac:dyDescent="0.25">
      <c r="A129" t="s">
        <v>716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 s="21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 s="21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</row>
    <row r="130" spans="1:107" s="21" customFormat="1" x14ac:dyDescent="0.25">
      <c r="A130" s="21" t="s">
        <v>717</v>
      </c>
      <c r="B130" s="21">
        <v>0</v>
      </c>
      <c r="C130" s="21">
        <v>0</v>
      </c>
      <c r="D130" s="21">
        <v>0</v>
      </c>
      <c r="E130" s="21">
        <v>0</v>
      </c>
      <c r="F130" s="21">
        <v>0</v>
      </c>
      <c r="G130" s="21">
        <v>0</v>
      </c>
      <c r="H130" s="21">
        <v>0</v>
      </c>
      <c r="I130" s="21">
        <v>0</v>
      </c>
      <c r="J130" s="21">
        <v>0</v>
      </c>
      <c r="K130" s="21">
        <v>0</v>
      </c>
      <c r="L130" s="21">
        <v>0</v>
      </c>
      <c r="M130" s="21">
        <v>0.5</v>
      </c>
      <c r="N130" s="21">
        <v>0</v>
      </c>
      <c r="O130" s="21">
        <v>0</v>
      </c>
      <c r="P130" s="21">
        <v>0</v>
      </c>
      <c r="Q130" s="21">
        <v>0</v>
      </c>
      <c r="R130" s="21">
        <v>0</v>
      </c>
      <c r="S130" s="21">
        <v>0</v>
      </c>
      <c r="T130" s="21">
        <v>0</v>
      </c>
      <c r="U130" s="21">
        <v>0</v>
      </c>
      <c r="V130" s="21">
        <v>0</v>
      </c>
      <c r="W130" s="21">
        <v>0</v>
      </c>
      <c r="X130" s="21">
        <v>0</v>
      </c>
      <c r="Y130" s="21">
        <v>0</v>
      </c>
      <c r="Z130" s="21">
        <v>0.5</v>
      </c>
      <c r="AA130" s="21">
        <v>0.5</v>
      </c>
      <c r="AB130" s="21">
        <v>0</v>
      </c>
      <c r="AC130" s="21">
        <v>0</v>
      </c>
      <c r="AD130" s="21">
        <v>0</v>
      </c>
      <c r="AE130" s="21">
        <v>0</v>
      </c>
      <c r="AF130" s="21">
        <v>0</v>
      </c>
      <c r="AG130" s="21">
        <v>0</v>
      </c>
      <c r="AH130" s="21">
        <v>0.5</v>
      </c>
      <c r="AI130" s="21">
        <v>0</v>
      </c>
      <c r="AJ130" s="21">
        <v>1</v>
      </c>
      <c r="AK130" s="21">
        <v>0</v>
      </c>
      <c r="AL130" s="21">
        <v>0</v>
      </c>
      <c r="AM130" s="21">
        <v>0</v>
      </c>
      <c r="AN130" s="21">
        <v>0</v>
      </c>
      <c r="AO130" s="21">
        <v>0</v>
      </c>
      <c r="AP130" s="21">
        <v>0</v>
      </c>
      <c r="AQ130" s="21">
        <v>0</v>
      </c>
      <c r="AR130" s="21">
        <v>0</v>
      </c>
      <c r="AS130" s="21">
        <v>0</v>
      </c>
      <c r="AT130" s="21">
        <v>1</v>
      </c>
      <c r="AU130" s="21">
        <v>0</v>
      </c>
      <c r="AV130" s="21">
        <v>0</v>
      </c>
      <c r="AW130" s="21">
        <v>0</v>
      </c>
      <c r="AX130" s="21">
        <v>0</v>
      </c>
      <c r="AY130" s="21">
        <v>0</v>
      </c>
      <c r="AZ130" s="21">
        <v>0</v>
      </c>
      <c r="BA130" s="21">
        <v>0</v>
      </c>
      <c r="BB130" s="21">
        <v>0</v>
      </c>
      <c r="BC130" s="21">
        <v>0</v>
      </c>
      <c r="BD130" s="21">
        <v>0</v>
      </c>
      <c r="BE130" s="21">
        <v>0</v>
      </c>
      <c r="BF130" s="21">
        <v>0</v>
      </c>
      <c r="BG130" s="21">
        <v>0</v>
      </c>
      <c r="BH130" s="21">
        <v>0</v>
      </c>
      <c r="BI130" s="21">
        <v>0</v>
      </c>
      <c r="BJ130" s="21">
        <v>0</v>
      </c>
      <c r="BK130" s="21">
        <v>0</v>
      </c>
      <c r="BL130" s="21">
        <v>0</v>
      </c>
      <c r="BM130" s="21">
        <v>0</v>
      </c>
      <c r="BN130" s="21">
        <v>0</v>
      </c>
      <c r="BO130" s="21">
        <v>0</v>
      </c>
      <c r="BP130" s="21">
        <v>0</v>
      </c>
      <c r="BQ130" s="21">
        <v>0</v>
      </c>
      <c r="BR130" s="21">
        <v>0</v>
      </c>
      <c r="BS130" s="21">
        <v>0</v>
      </c>
      <c r="BT130" s="21">
        <v>0</v>
      </c>
      <c r="BU130" s="21">
        <v>0</v>
      </c>
      <c r="BV130" s="21">
        <v>0</v>
      </c>
      <c r="BW130" s="21">
        <v>0</v>
      </c>
      <c r="BX130" s="21">
        <v>0.5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0.5</v>
      </c>
      <c r="CG130" s="21">
        <v>0</v>
      </c>
      <c r="CH130" s="21">
        <v>0.5</v>
      </c>
      <c r="CI130" s="21">
        <v>0.5</v>
      </c>
      <c r="CJ130" s="21">
        <v>0.5</v>
      </c>
      <c r="CK130" s="21">
        <v>0.5</v>
      </c>
      <c r="CL130" s="21">
        <v>0.5</v>
      </c>
      <c r="CM130" s="21">
        <v>0</v>
      </c>
      <c r="CN130" s="21">
        <v>0</v>
      </c>
      <c r="CO130" s="21">
        <v>0</v>
      </c>
      <c r="CP130" s="21">
        <v>0</v>
      </c>
      <c r="CQ130" s="21">
        <v>0</v>
      </c>
      <c r="CR130" s="21">
        <v>0</v>
      </c>
      <c r="CS130" s="21">
        <v>0</v>
      </c>
      <c r="CT130" s="21">
        <v>0</v>
      </c>
      <c r="CU130" s="21">
        <v>0</v>
      </c>
      <c r="CV130" s="21">
        <v>0</v>
      </c>
      <c r="CW130" s="21">
        <v>0</v>
      </c>
      <c r="CX130" s="21">
        <v>0</v>
      </c>
      <c r="CY130" s="21">
        <v>0</v>
      </c>
      <c r="CZ130" s="21">
        <v>0</v>
      </c>
      <c r="DA130" s="21">
        <v>0</v>
      </c>
      <c r="DB130" s="21">
        <v>0</v>
      </c>
      <c r="DC130" s="21">
        <v>0</v>
      </c>
    </row>
    <row r="131" spans="1:107" ht="15.75" customHeight="1" x14ac:dyDescent="0.25">
      <c r="A131" s="7" t="s">
        <v>1443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0.5</v>
      </c>
      <c r="AR131">
        <v>0</v>
      </c>
      <c r="AS131">
        <v>0</v>
      </c>
      <c r="AT131" s="2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0.5</v>
      </c>
      <c r="CG131">
        <v>0</v>
      </c>
      <c r="CH131">
        <v>0</v>
      </c>
      <c r="CI131" s="2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</row>
    <row r="132" spans="1:107" x14ac:dyDescent="0.25">
      <c r="A132" t="s">
        <v>718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0.5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 s="21">
        <v>0</v>
      </c>
      <c r="AU132">
        <v>0</v>
      </c>
      <c r="AV132">
        <v>0</v>
      </c>
      <c r="AW132">
        <v>0</v>
      </c>
      <c r="AX132">
        <v>0</v>
      </c>
      <c r="AY132">
        <v>0.5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0.5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 s="21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</row>
    <row r="133" spans="1:107" x14ac:dyDescent="0.25">
      <c r="A133" t="s">
        <v>719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0.5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 s="21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 s="21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</row>
    <row r="134" spans="1:107" x14ac:dyDescent="0.25">
      <c r="A134" t="s">
        <v>720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 s="21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 s="21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0.5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</row>
    <row r="135" spans="1:107" x14ac:dyDescent="0.25">
      <c r="A135" t="s">
        <v>721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0.5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0.5</v>
      </c>
      <c r="AP135">
        <v>0</v>
      </c>
      <c r="AQ135">
        <v>0</v>
      </c>
      <c r="AR135">
        <v>0</v>
      </c>
      <c r="AS135">
        <v>0</v>
      </c>
      <c r="AT135" s="21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 s="21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</row>
    <row r="136" spans="1:107" x14ac:dyDescent="0.25">
      <c r="A136" t="s">
        <v>722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0.5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0.5</v>
      </c>
      <c r="AB136">
        <v>0.5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0.5</v>
      </c>
      <c r="AP136">
        <v>0.5</v>
      </c>
      <c r="AQ136">
        <v>0.5</v>
      </c>
      <c r="AR136">
        <v>0</v>
      </c>
      <c r="AS136">
        <v>0</v>
      </c>
      <c r="AT136" s="21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0.5</v>
      </c>
      <c r="CC136">
        <v>0.5</v>
      </c>
      <c r="CD136">
        <v>0</v>
      </c>
      <c r="CE136">
        <v>0</v>
      </c>
      <c r="CF136">
        <v>0.5</v>
      </c>
      <c r="CG136">
        <v>0.5</v>
      </c>
      <c r="CH136">
        <v>0.5</v>
      </c>
      <c r="CI136" s="21">
        <v>0</v>
      </c>
      <c r="CJ136">
        <v>0.5</v>
      </c>
      <c r="CK136">
        <v>0</v>
      </c>
      <c r="CL136">
        <v>0</v>
      </c>
      <c r="CM136">
        <v>0.5</v>
      </c>
      <c r="CN136">
        <v>0.5</v>
      </c>
      <c r="CO136">
        <v>0.5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</row>
    <row r="137" spans="1:107" x14ac:dyDescent="0.25">
      <c r="A137" s="7" t="s">
        <v>1444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 s="21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 s="21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0.5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</row>
    <row r="138" spans="1:107" x14ac:dyDescent="0.25">
      <c r="A138" t="s">
        <v>723</v>
      </c>
      <c r="B138">
        <v>0.5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0.5</v>
      </c>
      <c r="R138">
        <v>0</v>
      </c>
      <c r="S138">
        <v>0</v>
      </c>
      <c r="T138">
        <v>0</v>
      </c>
      <c r="U138">
        <v>0</v>
      </c>
      <c r="V138">
        <v>0.5</v>
      </c>
      <c r="W138">
        <v>0</v>
      </c>
      <c r="X138">
        <v>0</v>
      </c>
      <c r="Y138">
        <v>0</v>
      </c>
      <c r="Z138">
        <v>0.5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0.5</v>
      </c>
      <c r="AR138">
        <v>0</v>
      </c>
      <c r="AS138">
        <v>0</v>
      </c>
      <c r="AT138" s="21">
        <v>0</v>
      </c>
      <c r="AU138">
        <v>0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0.5</v>
      </c>
      <c r="CG138">
        <v>0</v>
      </c>
      <c r="CH138">
        <v>0</v>
      </c>
      <c r="CI138" s="21">
        <v>0</v>
      </c>
      <c r="CJ138">
        <v>0</v>
      </c>
      <c r="CK138">
        <v>0</v>
      </c>
      <c r="CL138">
        <v>0.5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</row>
    <row r="139" spans="1:107" x14ac:dyDescent="0.25">
      <c r="A139" t="s">
        <v>724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 s="21">
        <v>0</v>
      </c>
      <c r="AU139">
        <v>0</v>
      </c>
      <c r="AV139">
        <v>0</v>
      </c>
      <c r="AW139">
        <v>3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5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5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 s="21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</row>
    <row r="140" spans="1:107" x14ac:dyDescent="0.25">
      <c r="A140" t="s">
        <v>725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 s="21">
        <v>0</v>
      </c>
      <c r="AU140">
        <v>0</v>
      </c>
      <c r="AV140">
        <v>0</v>
      </c>
      <c r="AW140">
        <v>2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2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2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1</v>
      </c>
      <c r="BY140">
        <v>0</v>
      </c>
      <c r="BZ140">
        <v>0</v>
      </c>
      <c r="CA140">
        <v>0</v>
      </c>
      <c r="CB140">
        <v>1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 s="21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</row>
    <row r="141" spans="1:107" x14ac:dyDescent="0.25">
      <c r="A141" t="s">
        <v>726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 s="21">
        <v>0</v>
      </c>
      <c r="AU141">
        <v>0</v>
      </c>
      <c r="AV141">
        <v>0</v>
      </c>
      <c r="AW141">
        <v>0.5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1</v>
      </c>
      <c r="BY141">
        <v>0</v>
      </c>
      <c r="BZ141">
        <v>0</v>
      </c>
      <c r="CA141">
        <v>0</v>
      </c>
      <c r="CB141">
        <v>2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 s="2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0.5</v>
      </c>
      <c r="CZ141">
        <v>0</v>
      </c>
      <c r="DA141">
        <v>0</v>
      </c>
      <c r="DB141">
        <v>0</v>
      </c>
      <c r="DC141">
        <v>0</v>
      </c>
    </row>
    <row r="142" spans="1:107" x14ac:dyDescent="0.25">
      <c r="A142" t="s">
        <v>1445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 s="21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1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 s="21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</row>
    <row r="143" spans="1:107" x14ac:dyDescent="0.25">
      <c r="A143" t="s">
        <v>1446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 s="21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 s="21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0.5</v>
      </c>
      <c r="CZ143">
        <v>0</v>
      </c>
      <c r="DA143">
        <v>0</v>
      </c>
      <c r="DB143">
        <v>0</v>
      </c>
      <c r="DC143">
        <v>0</v>
      </c>
    </row>
    <row r="144" spans="1:107" x14ac:dyDescent="0.25">
      <c r="A144" t="s">
        <v>727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5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 s="21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 s="21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</row>
    <row r="145" spans="1:107" x14ac:dyDescent="0.25">
      <c r="A145" t="s">
        <v>728</v>
      </c>
      <c r="B145">
        <v>0</v>
      </c>
      <c r="C145">
        <v>0</v>
      </c>
      <c r="D145">
        <v>0.5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 s="21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 s="21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</row>
    <row r="146" spans="1:107" x14ac:dyDescent="0.25">
      <c r="A146" t="s">
        <v>729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5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 s="21">
        <v>0</v>
      </c>
      <c r="AU146">
        <v>2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4</v>
      </c>
      <c r="BE146">
        <v>0</v>
      </c>
      <c r="BF146">
        <v>4</v>
      </c>
      <c r="BG146">
        <v>5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3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 s="21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3</v>
      </c>
      <c r="CT146">
        <v>0</v>
      </c>
      <c r="CU146">
        <v>0</v>
      </c>
      <c r="CV146">
        <v>0</v>
      </c>
      <c r="CW146">
        <v>0</v>
      </c>
      <c r="CX146">
        <v>2</v>
      </c>
      <c r="CY146">
        <v>0</v>
      </c>
      <c r="CZ146">
        <v>0</v>
      </c>
      <c r="DA146">
        <v>0</v>
      </c>
      <c r="DB146">
        <v>0</v>
      </c>
      <c r="DC146">
        <v>0</v>
      </c>
    </row>
    <row r="147" spans="1:107" x14ac:dyDescent="0.25">
      <c r="A147" t="s">
        <v>730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 s="21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1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 s="21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0.5</v>
      </c>
      <c r="CY147">
        <v>0</v>
      </c>
      <c r="CZ147">
        <v>0</v>
      </c>
      <c r="DA147">
        <v>0</v>
      </c>
      <c r="DB147">
        <v>0</v>
      </c>
      <c r="DC147">
        <v>0</v>
      </c>
    </row>
    <row r="148" spans="1:107" x14ac:dyDescent="0.25">
      <c r="A148" t="s">
        <v>731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 s="21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 s="21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0.5</v>
      </c>
      <c r="CZ148">
        <v>0</v>
      </c>
      <c r="DA148">
        <v>0</v>
      </c>
      <c r="DB148">
        <v>0</v>
      </c>
      <c r="DC148">
        <v>0</v>
      </c>
    </row>
    <row r="149" spans="1:107" x14ac:dyDescent="0.25">
      <c r="A149" t="s">
        <v>1456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 s="21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3</v>
      </c>
      <c r="CA149">
        <v>4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 s="21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</row>
    <row r="150" spans="1:107" x14ac:dyDescent="0.25">
      <c r="A150" t="s">
        <v>1457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 s="21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2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 s="21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</row>
    <row r="151" spans="1:107" s="21" customFormat="1" x14ac:dyDescent="0.25">
      <c r="A151" s="21" t="s">
        <v>732</v>
      </c>
      <c r="B151" s="21">
        <v>0</v>
      </c>
      <c r="C151" s="21">
        <v>0</v>
      </c>
      <c r="D151" s="21">
        <v>0</v>
      </c>
      <c r="E151" s="21">
        <v>0</v>
      </c>
      <c r="F151" s="21">
        <v>0</v>
      </c>
      <c r="G151" s="21">
        <v>0</v>
      </c>
      <c r="H151" s="21">
        <v>0</v>
      </c>
      <c r="I151" s="21">
        <v>0</v>
      </c>
      <c r="J151" s="21">
        <v>0</v>
      </c>
      <c r="K151" s="21">
        <v>0</v>
      </c>
      <c r="L151" s="21">
        <v>0</v>
      </c>
      <c r="M151" s="21">
        <v>0</v>
      </c>
      <c r="N151" s="21">
        <v>0</v>
      </c>
      <c r="O151" s="21">
        <v>0</v>
      </c>
      <c r="P151" s="21">
        <v>0</v>
      </c>
      <c r="Q151" s="21">
        <v>0</v>
      </c>
      <c r="R151" s="21">
        <v>0</v>
      </c>
      <c r="S151" s="21">
        <v>0</v>
      </c>
      <c r="T151" s="21">
        <v>0</v>
      </c>
      <c r="U151" s="21">
        <v>0</v>
      </c>
      <c r="V151" s="21">
        <v>0</v>
      </c>
      <c r="W151" s="21">
        <v>0</v>
      </c>
      <c r="X151" s="21">
        <v>0</v>
      </c>
      <c r="Y151" s="21">
        <v>0</v>
      </c>
      <c r="Z151" s="21">
        <v>0</v>
      </c>
      <c r="AA151" s="21">
        <v>0</v>
      </c>
      <c r="AB151" s="21">
        <v>0</v>
      </c>
      <c r="AC151" s="21">
        <v>0</v>
      </c>
      <c r="AD151" s="21">
        <v>0</v>
      </c>
      <c r="AE151" s="21">
        <v>0</v>
      </c>
      <c r="AF151" s="21">
        <v>0</v>
      </c>
      <c r="AG151" s="21">
        <v>0</v>
      </c>
      <c r="AH151" s="21">
        <v>0</v>
      </c>
      <c r="AI151" s="21">
        <v>0</v>
      </c>
      <c r="AJ151" s="21">
        <v>0</v>
      </c>
      <c r="AK151" s="21">
        <v>0</v>
      </c>
      <c r="AL151" s="21">
        <v>0</v>
      </c>
      <c r="AM151" s="21">
        <v>0</v>
      </c>
      <c r="AN151" s="21">
        <v>0</v>
      </c>
      <c r="AO151" s="21">
        <v>0</v>
      </c>
      <c r="AP151" s="21">
        <v>0</v>
      </c>
      <c r="AQ151" s="21">
        <v>0</v>
      </c>
      <c r="AR151" s="21">
        <v>0</v>
      </c>
      <c r="AS151" s="21">
        <v>0</v>
      </c>
      <c r="AT151" s="21">
        <v>0</v>
      </c>
      <c r="AU151" s="21">
        <v>0</v>
      </c>
      <c r="AV151" s="21">
        <v>0</v>
      </c>
      <c r="AW151" s="21">
        <v>0</v>
      </c>
      <c r="AX151" s="21">
        <v>0</v>
      </c>
      <c r="AY151" s="21">
        <v>0</v>
      </c>
      <c r="AZ151" s="21">
        <v>0</v>
      </c>
      <c r="BA151" s="21">
        <v>0</v>
      </c>
      <c r="BB151" s="21">
        <v>0</v>
      </c>
      <c r="BC151" s="21">
        <v>0</v>
      </c>
      <c r="BD151" s="21">
        <v>0</v>
      </c>
      <c r="BE151" s="21">
        <v>0</v>
      </c>
      <c r="BF151" s="21">
        <v>0</v>
      </c>
      <c r="BG151" s="21">
        <v>0</v>
      </c>
      <c r="BH151" s="21">
        <v>0</v>
      </c>
      <c r="BI151" s="21">
        <v>0</v>
      </c>
      <c r="BJ151" s="21">
        <v>0</v>
      </c>
      <c r="BK151" s="21">
        <v>0</v>
      </c>
      <c r="BL151" s="21">
        <v>0</v>
      </c>
      <c r="BM151" s="21">
        <v>0</v>
      </c>
      <c r="BN151" s="21">
        <v>0</v>
      </c>
      <c r="BO151" s="21">
        <v>0</v>
      </c>
      <c r="BP151" s="21">
        <v>4</v>
      </c>
      <c r="BQ151" s="21">
        <v>0</v>
      </c>
      <c r="BR151" s="21">
        <v>0</v>
      </c>
      <c r="BS151" s="21">
        <v>0</v>
      </c>
      <c r="BT151" s="21">
        <v>0</v>
      </c>
      <c r="BU151" s="21">
        <v>0</v>
      </c>
      <c r="BV151" s="21">
        <v>0</v>
      </c>
      <c r="BW151" s="21">
        <v>2</v>
      </c>
      <c r="BX151" s="21">
        <v>0</v>
      </c>
      <c r="BY151" s="21">
        <v>0</v>
      </c>
      <c r="BZ151" s="21">
        <v>0</v>
      </c>
      <c r="CA151" s="21">
        <v>0</v>
      </c>
      <c r="CB151" s="21">
        <v>0</v>
      </c>
      <c r="CC151" s="21">
        <v>0</v>
      </c>
      <c r="CD151" s="21">
        <v>0</v>
      </c>
      <c r="CE151" s="21">
        <v>0</v>
      </c>
      <c r="CF151" s="21">
        <v>0</v>
      </c>
      <c r="CG151" s="21">
        <v>0</v>
      </c>
      <c r="CH151" s="21">
        <v>0</v>
      </c>
      <c r="CI151" s="21">
        <v>0</v>
      </c>
      <c r="CJ151" s="21">
        <v>0</v>
      </c>
      <c r="CK151" s="21">
        <v>0</v>
      </c>
      <c r="CL151" s="21">
        <v>0</v>
      </c>
      <c r="CM151" s="21">
        <v>0</v>
      </c>
      <c r="CN151" s="21">
        <v>0</v>
      </c>
      <c r="CO151" s="21">
        <v>0</v>
      </c>
      <c r="CP151" s="21">
        <v>0</v>
      </c>
      <c r="CQ151" s="21">
        <v>0</v>
      </c>
      <c r="CR151" s="21">
        <v>0</v>
      </c>
      <c r="CS151" s="21">
        <v>0</v>
      </c>
      <c r="CT151" s="21">
        <v>0</v>
      </c>
      <c r="CU151" s="21">
        <v>0</v>
      </c>
      <c r="CV151" s="21">
        <v>0</v>
      </c>
      <c r="CW151" s="21">
        <v>0</v>
      </c>
      <c r="CX151" s="21">
        <v>0</v>
      </c>
      <c r="CY151" s="21">
        <v>0</v>
      </c>
      <c r="CZ151" s="21">
        <v>0</v>
      </c>
      <c r="DA151" s="21">
        <v>0</v>
      </c>
      <c r="DB151" s="21">
        <v>0</v>
      </c>
      <c r="DC151" s="21">
        <v>0</v>
      </c>
    </row>
    <row r="152" spans="1:107" x14ac:dyDescent="0.25">
      <c r="A152" t="s">
        <v>733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 s="21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 s="21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</row>
    <row r="153" spans="1:107" x14ac:dyDescent="0.25">
      <c r="A153" t="s">
        <v>734</v>
      </c>
      <c r="B153">
        <v>0</v>
      </c>
      <c r="C153">
        <v>0.5</v>
      </c>
      <c r="D153">
        <v>0</v>
      </c>
      <c r="E153">
        <v>0</v>
      </c>
      <c r="F153">
        <v>0</v>
      </c>
      <c r="G153">
        <v>0</v>
      </c>
      <c r="H153">
        <v>3</v>
      </c>
      <c r="I153">
        <v>1</v>
      </c>
      <c r="J153">
        <v>0.5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0.5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0.5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0.5</v>
      </c>
      <c r="AO153">
        <v>2</v>
      </c>
      <c r="AP153">
        <v>1</v>
      </c>
      <c r="AQ153">
        <v>1</v>
      </c>
      <c r="AR153">
        <v>0</v>
      </c>
      <c r="AS153">
        <v>0</v>
      </c>
      <c r="AT153" s="21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0.5</v>
      </c>
      <c r="CH153">
        <v>0</v>
      </c>
      <c r="CI153" s="21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</row>
    <row r="154" spans="1:107" x14ac:dyDescent="0.25">
      <c r="A154" t="s">
        <v>735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</v>
      </c>
      <c r="M154">
        <v>5</v>
      </c>
      <c r="N154">
        <v>0</v>
      </c>
      <c r="O154">
        <v>0</v>
      </c>
      <c r="P154">
        <v>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0.5</v>
      </c>
      <c r="AD154">
        <v>0</v>
      </c>
      <c r="AE154">
        <v>0</v>
      </c>
      <c r="AF154">
        <v>0</v>
      </c>
      <c r="AG154">
        <v>0</v>
      </c>
      <c r="AH154">
        <v>0.5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 s="21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0.5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1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1</v>
      </c>
      <c r="CG154">
        <v>0</v>
      </c>
      <c r="CH154">
        <v>0</v>
      </c>
      <c r="CI154" s="21">
        <v>0</v>
      </c>
      <c r="CJ154">
        <v>0</v>
      </c>
      <c r="CK154">
        <v>0</v>
      </c>
      <c r="CL154">
        <v>1</v>
      </c>
      <c r="CM154">
        <v>0</v>
      </c>
      <c r="CN154">
        <v>0</v>
      </c>
      <c r="CO154">
        <v>0</v>
      </c>
      <c r="CP154">
        <v>0</v>
      </c>
      <c r="CQ154">
        <v>2</v>
      </c>
      <c r="CR154">
        <v>0</v>
      </c>
      <c r="CS154">
        <v>0</v>
      </c>
      <c r="CT154">
        <v>3</v>
      </c>
      <c r="CU154">
        <v>3</v>
      </c>
      <c r="CV154">
        <v>2</v>
      </c>
      <c r="CW154">
        <v>0</v>
      </c>
      <c r="CX154">
        <v>0</v>
      </c>
      <c r="CY154">
        <v>0</v>
      </c>
      <c r="CZ154">
        <v>0.5</v>
      </c>
      <c r="DA154">
        <v>0</v>
      </c>
      <c r="DB154">
        <v>0</v>
      </c>
      <c r="DC154">
        <v>0</v>
      </c>
    </row>
    <row r="155" spans="1:107" x14ac:dyDescent="0.25">
      <c r="A155" t="s">
        <v>736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 s="21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1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 s="21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</row>
    <row r="156" spans="1:107" x14ac:dyDescent="0.25">
      <c r="A156" t="s">
        <v>737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 s="21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0.5</v>
      </c>
      <c r="CG156">
        <v>0</v>
      </c>
      <c r="CH156">
        <v>0</v>
      </c>
      <c r="CI156" s="21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</row>
    <row r="157" spans="1:107" s="21" customFormat="1" x14ac:dyDescent="0.25">
      <c r="A157" s="21" t="s">
        <v>738</v>
      </c>
      <c r="B157" s="21">
        <v>1</v>
      </c>
      <c r="C157" s="21">
        <v>0</v>
      </c>
      <c r="D157" s="21">
        <v>0</v>
      </c>
      <c r="E157" s="21">
        <v>0</v>
      </c>
      <c r="F157" s="21">
        <v>0</v>
      </c>
      <c r="G157" s="21">
        <v>0</v>
      </c>
      <c r="H157" s="21">
        <v>0</v>
      </c>
      <c r="I157" s="21">
        <v>0</v>
      </c>
      <c r="J157" s="21">
        <v>0</v>
      </c>
      <c r="K157" s="21">
        <v>0</v>
      </c>
      <c r="L157" s="21">
        <v>0</v>
      </c>
      <c r="M157" s="21">
        <v>0</v>
      </c>
      <c r="N157" s="21">
        <v>0</v>
      </c>
      <c r="O157" s="21">
        <v>0</v>
      </c>
      <c r="P157" s="21">
        <v>0</v>
      </c>
      <c r="Q157" s="21">
        <v>0</v>
      </c>
      <c r="R157" s="21">
        <v>0</v>
      </c>
      <c r="S157" s="21">
        <v>0</v>
      </c>
      <c r="T157" s="21">
        <v>0.5</v>
      </c>
      <c r="U157" s="21">
        <v>0</v>
      </c>
      <c r="V157" s="21">
        <v>0</v>
      </c>
      <c r="W157" s="21">
        <v>0</v>
      </c>
      <c r="X157" s="21">
        <v>0</v>
      </c>
      <c r="Y157" s="21">
        <v>0</v>
      </c>
      <c r="Z157" s="21">
        <v>0</v>
      </c>
      <c r="AA157" s="21">
        <v>0</v>
      </c>
      <c r="AB157" s="21">
        <v>0</v>
      </c>
      <c r="AC157" s="21">
        <v>0.5</v>
      </c>
      <c r="AD157" s="21">
        <v>0</v>
      </c>
      <c r="AE157" s="21">
        <v>0</v>
      </c>
      <c r="AF157" s="21">
        <v>0</v>
      </c>
      <c r="AG157" s="21">
        <v>0</v>
      </c>
      <c r="AH157" s="21">
        <v>0.5</v>
      </c>
      <c r="AI157" s="21">
        <v>0</v>
      </c>
      <c r="AJ157" s="21">
        <v>0</v>
      </c>
      <c r="AK157" s="21">
        <v>0</v>
      </c>
      <c r="AL157" s="21">
        <v>0</v>
      </c>
      <c r="AM157" s="21">
        <v>0.5</v>
      </c>
      <c r="AN157" s="21">
        <v>0</v>
      </c>
      <c r="AO157" s="21">
        <v>0</v>
      </c>
      <c r="AP157" s="21">
        <v>0</v>
      </c>
      <c r="AQ157" s="21">
        <v>0</v>
      </c>
      <c r="AR157" s="21">
        <v>0</v>
      </c>
      <c r="AS157" s="21">
        <v>0</v>
      </c>
      <c r="AT157" s="21">
        <v>1</v>
      </c>
      <c r="AU157" s="21">
        <v>0</v>
      </c>
      <c r="AV157" s="21">
        <v>0</v>
      </c>
      <c r="AW157" s="21">
        <v>0</v>
      </c>
      <c r="AX157" s="21">
        <v>0</v>
      </c>
      <c r="AY157" s="21">
        <v>0</v>
      </c>
      <c r="AZ157" s="21">
        <v>0</v>
      </c>
      <c r="BA157" s="21">
        <v>0</v>
      </c>
      <c r="BB157" s="21">
        <v>0</v>
      </c>
      <c r="BC157" s="21">
        <v>0</v>
      </c>
      <c r="BD157" s="21">
        <v>0</v>
      </c>
      <c r="BE157" s="21">
        <v>0</v>
      </c>
      <c r="BF157" s="21">
        <v>0</v>
      </c>
      <c r="BG157" s="21">
        <v>0</v>
      </c>
      <c r="BH157" s="21">
        <v>0</v>
      </c>
      <c r="BI157" s="21">
        <v>0</v>
      </c>
      <c r="BJ157" s="21">
        <v>0</v>
      </c>
      <c r="BK157" s="21">
        <v>0</v>
      </c>
      <c r="BL157" s="21">
        <v>0</v>
      </c>
      <c r="BM157" s="21">
        <v>0</v>
      </c>
      <c r="BN157" s="21">
        <v>0</v>
      </c>
      <c r="BO157" s="21">
        <v>0</v>
      </c>
      <c r="BP157" s="21">
        <v>0</v>
      </c>
      <c r="BQ157" s="21">
        <v>0</v>
      </c>
      <c r="BR157" s="21">
        <v>0</v>
      </c>
      <c r="BS157" s="21">
        <v>0</v>
      </c>
      <c r="BT157" s="21">
        <v>0</v>
      </c>
      <c r="BU157" s="21">
        <v>0</v>
      </c>
      <c r="BV157" s="21">
        <v>0</v>
      </c>
      <c r="BW157" s="21">
        <v>0.5</v>
      </c>
      <c r="BX157" s="21">
        <v>0</v>
      </c>
      <c r="BY157" s="21">
        <v>0</v>
      </c>
      <c r="BZ157" s="21">
        <v>0</v>
      </c>
      <c r="CA157" s="21">
        <v>0</v>
      </c>
      <c r="CB157" s="21">
        <v>0</v>
      </c>
      <c r="CC157" s="21">
        <v>0</v>
      </c>
      <c r="CD157" s="21">
        <v>0</v>
      </c>
      <c r="CE157" s="21">
        <v>0</v>
      </c>
      <c r="CF157" s="21">
        <v>0</v>
      </c>
      <c r="CG157" s="21">
        <v>0</v>
      </c>
      <c r="CH157" s="21">
        <v>0</v>
      </c>
      <c r="CI157" s="21">
        <v>0</v>
      </c>
      <c r="CJ157" s="21">
        <v>0</v>
      </c>
      <c r="CK157" s="21">
        <v>0</v>
      </c>
      <c r="CL157" s="21">
        <v>0</v>
      </c>
      <c r="CM157" s="21">
        <v>0</v>
      </c>
      <c r="CN157" s="21">
        <v>0</v>
      </c>
      <c r="CO157" s="21">
        <v>0</v>
      </c>
      <c r="CP157" s="21">
        <v>0</v>
      </c>
      <c r="CQ157" s="21">
        <v>0</v>
      </c>
      <c r="CR157" s="21">
        <v>0</v>
      </c>
      <c r="CS157" s="21">
        <v>0</v>
      </c>
      <c r="CT157" s="21">
        <v>0</v>
      </c>
      <c r="CU157" s="21">
        <v>0</v>
      </c>
      <c r="CV157" s="21">
        <v>0</v>
      </c>
      <c r="CW157" s="21">
        <v>0</v>
      </c>
      <c r="CX157" s="21">
        <v>0</v>
      </c>
      <c r="CY157" s="21">
        <v>0</v>
      </c>
      <c r="CZ157" s="21">
        <v>0</v>
      </c>
      <c r="DA157" s="21">
        <v>0</v>
      </c>
      <c r="DB157" s="21">
        <v>0</v>
      </c>
      <c r="DC157" s="21">
        <v>0</v>
      </c>
    </row>
    <row r="158" spans="1:107" x14ac:dyDescent="0.25">
      <c r="A158" t="s">
        <v>739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 s="21">
        <v>0.5</v>
      </c>
      <c r="AU158">
        <v>0</v>
      </c>
      <c r="AV158">
        <v>0</v>
      </c>
      <c r="AW158">
        <v>0</v>
      </c>
      <c r="AX158">
        <v>0.5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0.5</v>
      </c>
      <c r="CE158">
        <v>0</v>
      </c>
      <c r="CF158">
        <v>0</v>
      </c>
      <c r="CG158">
        <v>0</v>
      </c>
      <c r="CH158">
        <v>0</v>
      </c>
      <c r="CI158" s="21">
        <v>0</v>
      </c>
      <c r="CJ158">
        <v>0.5</v>
      </c>
      <c r="CK158">
        <v>0.5</v>
      </c>
      <c r="CL158">
        <v>0.5</v>
      </c>
      <c r="CM158">
        <v>0</v>
      </c>
      <c r="CN158">
        <v>0</v>
      </c>
      <c r="CO158">
        <v>0.5</v>
      </c>
      <c r="CP158">
        <v>0</v>
      </c>
      <c r="CQ158">
        <v>0</v>
      </c>
      <c r="CR158">
        <v>0</v>
      </c>
      <c r="CS158">
        <v>0</v>
      </c>
      <c r="CT158">
        <v>0.5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</row>
    <row r="159" spans="1:107" s="21" customFormat="1" x14ac:dyDescent="0.25">
      <c r="A159" s="21" t="s">
        <v>740</v>
      </c>
      <c r="B159" s="21">
        <v>0</v>
      </c>
      <c r="C159" s="21">
        <v>0</v>
      </c>
      <c r="D159" s="21">
        <v>0</v>
      </c>
      <c r="E159" s="21">
        <v>0</v>
      </c>
      <c r="F159" s="21">
        <v>0</v>
      </c>
      <c r="G159" s="21">
        <v>0</v>
      </c>
      <c r="H159" s="21">
        <v>0.5</v>
      </c>
      <c r="I159" s="21">
        <v>1</v>
      </c>
      <c r="J159" s="21">
        <v>0.5</v>
      </c>
      <c r="K159" s="21">
        <v>0</v>
      </c>
      <c r="L159" s="21">
        <v>0</v>
      </c>
      <c r="M159" s="21">
        <v>0</v>
      </c>
      <c r="N159" s="21">
        <v>0</v>
      </c>
      <c r="O159" s="21">
        <v>0</v>
      </c>
      <c r="P159" s="21">
        <v>0</v>
      </c>
      <c r="Q159" s="21">
        <v>0</v>
      </c>
      <c r="R159" s="21">
        <v>0</v>
      </c>
      <c r="S159" s="21">
        <v>0</v>
      </c>
      <c r="T159" s="21">
        <v>0</v>
      </c>
      <c r="U159" s="21">
        <v>0</v>
      </c>
      <c r="V159" s="21">
        <v>0</v>
      </c>
      <c r="W159" s="21">
        <v>0</v>
      </c>
      <c r="X159" s="21">
        <v>0</v>
      </c>
      <c r="Y159" s="21">
        <v>0</v>
      </c>
      <c r="Z159" s="21">
        <v>0</v>
      </c>
      <c r="AA159" s="21">
        <v>0</v>
      </c>
      <c r="AB159" s="21">
        <v>0.5</v>
      </c>
      <c r="AC159" s="21">
        <v>0</v>
      </c>
      <c r="AD159" s="21">
        <v>0</v>
      </c>
      <c r="AE159" s="21">
        <v>0</v>
      </c>
      <c r="AF159" s="21">
        <v>0.5</v>
      </c>
      <c r="AG159" s="21">
        <v>0</v>
      </c>
      <c r="AH159" s="21">
        <v>0</v>
      </c>
      <c r="AI159" s="21">
        <v>0</v>
      </c>
      <c r="AJ159" s="21">
        <v>0</v>
      </c>
      <c r="AK159" s="21">
        <v>0</v>
      </c>
      <c r="AL159" s="21">
        <v>0</v>
      </c>
      <c r="AM159" s="21">
        <v>0</v>
      </c>
      <c r="AN159" s="21">
        <v>0</v>
      </c>
      <c r="AO159" s="21">
        <v>0.5</v>
      </c>
      <c r="AP159" s="21">
        <v>0.5</v>
      </c>
      <c r="AQ159" s="21">
        <v>0.5</v>
      </c>
      <c r="AR159" s="21">
        <v>0</v>
      </c>
      <c r="AS159" s="21">
        <v>0</v>
      </c>
      <c r="AT159" s="21">
        <v>0</v>
      </c>
      <c r="AU159" s="21">
        <v>0</v>
      </c>
      <c r="AV159" s="21">
        <v>0</v>
      </c>
      <c r="AW159" s="21">
        <v>0</v>
      </c>
      <c r="AX159" s="21">
        <v>0</v>
      </c>
      <c r="AY159" s="21">
        <v>0</v>
      </c>
      <c r="AZ159" s="21">
        <v>0</v>
      </c>
      <c r="BA159" s="21">
        <v>0</v>
      </c>
      <c r="BB159" s="21">
        <v>0</v>
      </c>
      <c r="BC159" s="21">
        <v>0</v>
      </c>
      <c r="BD159" s="21">
        <v>0</v>
      </c>
      <c r="BE159" s="21">
        <v>0</v>
      </c>
      <c r="BF159" s="21">
        <v>0</v>
      </c>
      <c r="BG159" s="21">
        <v>0</v>
      </c>
      <c r="BH159" s="21">
        <v>0</v>
      </c>
      <c r="BI159" s="21">
        <v>0</v>
      </c>
      <c r="BJ159" s="21">
        <v>0</v>
      </c>
      <c r="BK159" s="21">
        <v>0</v>
      </c>
      <c r="BL159" s="21">
        <v>0</v>
      </c>
      <c r="BM159" s="21">
        <v>0</v>
      </c>
      <c r="BN159" s="21">
        <v>0</v>
      </c>
      <c r="BO159" s="21">
        <v>0</v>
      </c>
      <c r="BP159" s="21">
        <v>0</v>
      </c>
      <c r="BQ159" s="21">
        <v>0</v>
      </c>
      <c r="BR159" s="21">
        <v>0</v>
      </c>
      <c r="BS159" s="21">
        <v>0</v>
      </c>
      <c r="BT159" s="21">
        <v>0</v>
      </c>
      <c r="BU159" s="21">
        <v>0</v>
      </c>
      <c r="BV159" s="21">
        <v>0</v>
      </c>
      <c r="BW159" s="21">
        <v>0.5</v>
      </c>
      <c r="BX159" s="21">
        <v>0</v>
      </c>
      <c r="BY159" s="21">
        <v>0</v>
      </c>
      <c r="BZ159" s="21">
        <v>0</v>
      </c>
      <c r="CA159" s="21">
        <v>0</v>
      </c>
      <c r="CB159" s="21">
        <v>0</v>
      </c>
      <c r="CC159" s="21">
        <v>0.5</v>
      </c>
      <c r="CD159" s="21">
        <v>0</v>
      </c>
      <c r="CE159" s="21">
        <v>0</v>
      </c>
      <c r="CF159" s="21">
        <v>0</v>
      </c>
      <c r="CG159" s="21">
        <v>0.5</v>
      </c>
      <c r="CH159" s="21">
        <v>0</v>
      </c>
      <c r="CI159" s="21">
        <v>0</v>
      </c>
      <c r="CJ159" s="21">
        <v>0</v>
      </c>
      <c r="CK159" s="21">
        <v>0</v>
      </c>
      <c r="CL159" s="21">
        <v>0</v>
      </c>
      <c r="CM159" s="21">
        <v>0</v>
      </c>
      <c r="CN159" s="21">
        <v>0</v>
      </c>
      <c r="CO159" s="21">
        <v>0</v>
      </c>
      <c r="CP159" s="21">
        <v>0</v>
      </c>
      <c r="CQ159" s="21">
        <v>0</v>
      </c>
      <c r="CR159" s="21">
        <v>0</v>
      </c>
      <c r="CS159" s="21">
        <v>0</v>
      </c>
      <c r="CT159" s="21">
        <v>0</v>
      </c>
      <c r="CU159" s="21">
        <v>0</v>
      </c>
      <c r="CV159" s="21">
        <v>0</v>
      </c>
      <c r="CW159" s="21">
        <v>0</v>
      </c>
      <c r="CX159" s="21">
        <v>0</v>
      </c>
      <c r="CY159" s="21">
        <v>0</v>
      </c>
      <c r="CZ159" s="21">
        <v>0</v>
      </c>
      <c r="DA159" s="21">
        <v>0</v>
      </c>
      <c r="DB159" s="21">
        <v>0</v>
      </c>
      <c r="DC159" s="21">
        <v>0</v>
      </c>
    </row>
    <row r="160" spans="1:107" x14ac:dyDescent="0.25">
      <c r="A160" s="7" t="s">
        <v>1447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 s="21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0.5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 s="21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</row>
    <row r="161" spans="1:107" x14ac:dyDescent="0.25">
      <c r="A161" t="s">
        <v>741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 s="2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 s="2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0.5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</row>
    <row r="162" spans="1:107" x14ac:dyDescent="0.25">
      <c r="A162" t="s">
        <v>742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0.5</v>
      </c>
      <c r="AS162">
        <v>0</v>
      </c>
      <c r="AT162" s="21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 s="21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</row>
    <row r="163" spans="1:107" x14ac:dyDescent="0.25">
      <c r="A163" t="s">
        <v>743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 s="21">
        <v>0</v>
      </c>
      <c r="AU163">
        <v>3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0.5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 s="21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</row>
    <row r="164" spans="1:107" x14ac:dyDescent="0.25">
      <c r="A164" t="s">
        <v>744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0.5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 s="21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 s="21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</row>
    <row r="165" spans="1:107" x14ac:dyDescent="0.25">
      <c r="A165" t="s">
        <v>745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 s="21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 s="21">
        <v>0</v>
      </c>
      <c r="CJ165">
        <v>0</v>
      </c>
      <c r="CK165">
        <v>0</v>
      </c>
      <c r="CL165">
        <v>0</v>
      </c>
      <c r="CM165">
        <v>0</v>
      </c>
      <c r="CN165">
        <v>0.5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</row>
    <row r="166" spans="1:107" s="21" customFormat="1" x14ac:dyDescent="0.25">
      <c r="A166" s="21" t="s">
        <v>746</v>
      </c>
      <c r="B166" s="21">
        <v>0</v>
      </c>
      <c r="C166" s="21">
        <v>0</v>
      </c>
      <c r="D166" s="21">
        <v>0</v>
      </c>
      <c r="E166" s="21">
        <v>0</v>
      </c>
      <c r="F166" s="21">
        <v>0</v>
      </c>
      <c r="G166" s="21">
        <v>0</v>
      </c>
      <c r="H166" s="21">
        <v>0</v>
      </c>
      <c r="I166" s="21">
        <v>0</v>
      </c>
      <c r="J166" s="21">
        <v>0.5</v>
      </c>
      <c r="K166" s="21">
        <v>0</v>
      </c>
      <c r="L166" s="21">
        <v>0</v>
      </c>
      <c r="M166" s="21">
        <v>0</v>
      </c>
      <c r="N166" s="21">
        <v>0</v>
      </c>
      <c r="O166" s="21">
        <v>0</v>
      </c>
      <c r="P166" s="21">
        <v>0</v>
      </c>
      <c r="Q166" s="21">
        <v>0</v>
      </c>
      <c r="R166" s="21">
        <v>0</v>
      </c>
      <c r="S166" s="21">
        <v>0</v>
      </c>
      <c r="T166" s="21">
        <v>0</v>
      </c>
      <c r="U166" s="21">
        <v>0</v>
      </c>
      <c r="V166" s="21">
        <v>0</v>
      </c>
      <c r="W166" s="21">
        <v>0</v>
      </c>
      <c r="X166" s="21">
        <v>0</v>
      </c>
      <c r="Y166" s="21">
        <v>0</v>
      </c>
      <c r="Z166" s="21">
        <v>0</v>
      </c>
      <c r="AA166" s="21">
        <v>0.5</v>
      </c>
      <c r="AB166" s="21">
        <v>0.5</v>
      </c>
      <c r="AC166" s="21">
        <v>0</v>
      </c>
      <c r="AD166" s="21">
        <v>0</v>
      </c>
      <c r="AE166" s="21">
        <v>0</v>
      </c>
      <c r="AF166" s="21">
        <v>0</v>
      </c>
      <c r="AG166" s="21">
        <v>0</v>
      </c>
      <c r="AH166" s="21">
        <v>0.5</v>
      </c>
      <c r="AI166" s="21">
        <v>0</v>
      </c>
      <c r="AJ166" s="21">
        <v>0</v>
      </c>
      <c r="AK166" s="21">
        <v>0</v>
      </c>
      <c r="AL166" s="21">
        <v>0</v>
      </c>
      <c r="AM166" s="21">
        <v>0</v>
      </c>
      <c r="AN166" s="21">
        <v>0</v>
      </c>
      <c r="AO166" s="21">
        <v>0</v>
      </c>
      <c r="AP166" s="21">
        <v>0</v>
      </c>
      <c r="AQ166" s="21">
        <v>0</v>
      </c>
      <c r="AR166" s="21">
        <v>0</v>
      </c>
      <c r="AS166" s="21">
        <v>0</v>
      </c>
      <c r="AT166" s="21">
        <v>0</v>
      </c>
      <c r="AU166" s="21">
        <v>0</v>
      </c>
      <c r="AV166" s="21">
        <v>0</v>
      </c>
      <c r="AW166" s="21">
        <v>0</v>
      </c>
      <c r="AX166" s="21">
        <v>0</v>
      </c>
      <c r="AY166" s="21">
        <v>0</v>
      </c>
      <c r="AZ166" s="21">
        <v>0</v>
      </c>
      <c r="BA166" s="21">
        <v>0</v>
      </c>
      <c r="BB166" s="21">
        <v>0</v>
      </c>
      <c r="BC166" s="21">
        <v>0</v>
      </c>
      <c r="BD166" s="21">
        <v>0</v>
      </c>
      <c r="BE166" s="21">
        <v>0</v>
      </c>
      <c r="BF166" s="21">
        <v>0.5</v>
      </c>
      <c r="BG166" s="21">
        <v>0</v>
      </c>
      <c r="BH166" s="21">
        <v>0</v>
      </c>
      <c r="BI166" s="21">
        <v>0</v>
      </c>
      <c r="BJ166" s="21">
        <v>0</v>
      </c>
      <c r="BK166" s="21">
        <v>0</v>
      </c>
      <c r="BL166" s="21">
        <v>0</v>
      </c>
      <c r="BM166" s="21">
        <v>0</v>
      </c>
      <c r="BN166" s="21">
        <v>0</v>
      </c>
      <c r="BO166" s="21">
        <v>0</v>
      </c>
      <c r="BP166" s="21">
        <v>0</v>
      </c>
      <c r="BQ166" s="21">
        <v>0</v>
      </c>
      <c r="BR166" s="21">
        <v>0</v>
      </c>
      <c r="BS166" s="21">
        <v>0</v>
      </c>
      <c r="BT166" s="21">
        <v>0</v>
      </c>
      <c r="BU166" s="21">
        <v>0</v>
      </c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0.5</v>
      </c>
      <c r="CC166" s="21">
        <v>0.5</v>
      </c>
      <c r="CD166" s="21">
        <v>0.5</v>
      </c>
      <c r="CE166" s="21">
        <v>0.5</v>
      </c>
      <c r="CF166" s="21">
        <v>0.5</v>
      </c>
      <c r="CG166" s="21">
        <v>0.5</v>
      </c>
      <c r="CH166" s="21">
        <v>0</v>
      </c>
      <c r="CI166" s="21">
        <v>0</v>
      </c>
      <c r="CJ166" s="21">
        <v>0</v>
      </c>
      <c r="CK166" s="21">
        <v>0</v>
      </c>
      <c r="CL166" s="21">
        <v>0</v>
      </c>
      <c r="CM166" s="21">
        <v>0</v>
      </c>
      <c r="CN166" s="21">
        <v>0</v>
      </c>
      <c r="CO166" s="21">
        <v>0.5</v>
      </c>
      <c r="CP166" s="21">
        <v>0</v>
      </c>
      <c r="CQ166" s="21">
        <v>0</v>
      </c>
      <c r="CR166" s="21">
        <v>0</v>
      </c>
      <c r="CS166" s="21">
        <v>0</v>
      </c>
      <c r="CT166" s="21">
        <v>0</v>
      </c>
      <c r="CU166" s="21">
        <v>0</v>
      </c>
      <c r="CV166" s="21">
        <v>0</v>
      </c>
      <c r="CW166" s="21">
        <v>0</v>
      </c>
      <c r="CX166" s="21">
        <v>0.5</v>
      </c>
      <c r="CY166" s="21">
        <v>0</v>
      </c>
      <c r="CZ166" s="21">
        <v>0</v>
      </c>
      <c r="DA166" s="21">
        <v>0</v>
      </c>
      <c r="DB166" s="21">
        <v>0</v>
      </c>
      <c r="DC166" s="21">
        <v>0</v>
      </c>
    </row>
    <row r="167" spans="1:107" x14ac:dyDescent="0.25">
      <c r="A167" t="s">
        <v>747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 s="21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 s="21">
        <v>0</v>
      </c>
      <c r="CJ167">
        <v>0</v>
      </c>
      <c r="CK167">
        <v>0</v>
      </c>
      <c r="CL167">
        <v>0.5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</row>
    <row r="168" spans="1:107" x14ac:dyDescent="0.25">
      <c r="A168" t="s">
        <v>1448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 s="21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 s="21">
        <v>0</v>
      </c>
      <c r="CJ168">
        <v>0</v>
      </c>
      <c r="CK168">
        <v>0</v>
      </c>
      <c r="CL168">
        <v>1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</row>
    <row r="169" spans="1:107" x14ac:dyDescent="0.25">
      <c r="A169" t="s">
        <v>748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 s="21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3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4</v>
      </c>
      <c r="BM169">
        <v>0</v>
      </c>
      <c r="BN169">
        <v>0</v>
      </c>
      <c r="BO169">
        <v>3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 s="21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1</v>
      </c>
      <c r="DB169">
        <v>0</v>
      </c>
      <c r="DC169">
        <v>0</v>
      </c>
    </row>
    <row r="170" spans="1:107" x14ac:dyDescent="0.25">
      <c r="A170" t="s">
        <v>749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0.5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 s="21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 s="21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0.5</v>
      </c>
      <c r="DB170">
        <v>0</v>
      </c>
      <c r="DC170">
        <v>0</v>
      </c>
    </row>
    <row r="171" spans="1:107" x14ac:dyDescent="0.25">
      <c r="A171" t="s">
        <v>750</v>
      </c>
      <c r="B171">
        <v>0.5</v>
      </c>
      <c r="C171">
        <v>0</v>
      </c>
      <c r="D171">
        <v>0</v>
      </c>
      <c r="E171">
        <v>0.5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0.5</v>
      </c>
      <c r="O171">
        <v>0.5</v>
      </c>
      <c r="P171">
        <v>0.5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0.5</v>
      </c>
      <c r="AD171">
        <v>0</v>
      </c>
      <c r="AE171">
        <v>0.5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0.5</v>
      </c>
      <c r="AS171">
        <v>0</v>
      </c>
      <c r="AT171" s="21">
        <v>0.5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0.5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0.5</v>
      </c>
      <c r="BM171">
        <v>0</v>
      </c>
      <c r="BN171">
        <v>0</v>
      </c>
      <c r="BO171">
        <v>0.5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 s="21">
        <v>0</v>
      </c>
      <c r="CJ171">
        <v>0.5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0.5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0.5</v>
      </c>
      <c r="DC171">
        <v>0</v>
      </c>
    </row>
    <row r="172" spans="1:107" x14ac:dyDescent="0.25">
      <c r="A172" t="s">
        <v>751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 s="21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 s="21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</row>
    <row r="173" spans="1:107" x14ac:dyDescent="0.25">
      <c r="A173" t="s">
        <v>752</v>
      </c>
      <c r="B173">
        <v>0.5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0.5</v>
      </c>
      <c r="Q173">
        <v>0.5</v>
      </c>
      <c r="R173">
        <v>0.5</v>
      </c>
      <c r="S173">
        <v>0</v>
      </c>
      <c r="T173">
        <v>0</v>
      </c>
      <c r="U173">
        <v>0.5</v>
      </c>
      <c r="V173">
        <v>0.5</v>
      </c>
      <c r="W173">
        <v>0</v>
      </c>
      <c r="X173">
        <v>0.5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0.5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 s="21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 s="21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0.5</v>
      </c>
      <c r="CU173">
        <v>0.5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</row>
    <row r="174" spans="1:107" x14ac:dyDescent="0.25">
      <c r="A174" t="s">
        <v>753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 s="21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 s="21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</row>
    <row r="175" spans="1:107" x14ac:dyDescent="0.25">
      <c r="A175" t="s">
        <v>754</v>
      </c>
      <c r="B175">
        <v>0</v>
      </c>
      <c r="C175">
        <v>0</v>
      </c>
      <c r="D175">
        <v>1</v>
      </c>
      <c r="E175">
        <v>5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 s="21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 s="21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</row>
    <row r="176" spans="1:107" x14ac:dyDescent="0.25">
      <c r="A176" t="s">
        <v>755</v>
      </c>
      <c r="B176">
        <v>0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0.5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0.5</v>
      </c>
      <c r="AS176">
        <v>0</v>
      </c>
      <c r="AT176" s="21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 s="21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0.5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</row>
    <row r="177" spans="1:107" x14ac:dyDescent="0.25">
      <c r="A177" t="s">
        <v>756</v>
      </c>
      <c r="B177">
        <v>0.5</v>
      </c>
      <c r="C177">
        <v>0.5</v>
      </c>
      <c r="D177">
        <v>0.5</v>
      </c>
      <c r="E177">
        <v>1</v>
      </c>
      <c r="F177">
        <v>0</v>
      </c>
      <c r="G177">
        <v>0.5</v>
      </c>
      <c r="H177">
        <v>0</v>
      </c>
      <c r="I177">
        <v>0</v>
      </c>
      <c r="J177">
        <v>0</v>
      </c>
      <c r="K177">
        <v>0</v>
      </c>
      <c r="L177">
        <v>2</v>
      </c>
      <c r="M177">
        <v>0</v>
      </c>
      <c r="N177">
        <v>2</v>
      </c>
      <c r="O177">
        <v>0</v>
      </c>
      <c r="P177">
        <v>0</v>
      </c>
      <c r="Q177">
        <v>0.5</v>
      </c>
      <c r="R177">
        <v>0</v>
      </c>
      <c r="S177">
        <v>0.5</v>
      </c>
      <c r="T177">
        <v>0.5</v>
      </c>
      <c r="U177">
        <v>1</v>
      </c>
      <c r="V177">
        <v>0.5</v>
      </c>
      <c r="W177">
        <v>5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5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0.5</v>
      </c>
      <c r="AS177">
        <v>3</v>
      </c>
      <c r="AT177" s="21">
        <v>0</v>
      </c>
      <c r="AU177">
        <v>0.5</v>
      </c>
      <c r="AV177">
        <v>0</v>
      </c>
      <c r="AW177">
        <v>0.5</v>
      </c>
      <c r="AX177">
        <v>0</v>
      </c>
      <c r="AY177">
        <v>0</v>
      </c>
      <c r="AZ177">
        <v>0.5</v>
      </c>
      <c r="BA177">
        <v>0</v>
      </c>
      <c r="BB177">
        <v>0.5</v>
      </c>
      <c r="BC177">
        <v>0.5</v>
      </c>
      <c r="BD177">
        <v>0.5</v>
      </c>
      <c r="BE177">
        <v>2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1</v>
      </c>
      <c r="BN177">
        <v>0</v>
      </c>
      <c r="BO177">
        <v>1</v>
      </c>
      <c r="BP177">
        <v>3</v>
      </c>
      <c r="BQ177">
        <v>0</v>
      </c>
      <c r="BR177">
        <v>0.5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 s="21">
        <v>0</v>
      </c>
      <c r="CJ177">
        <v>0.5</v>
      </c>
      <c r="CK177">
        <v>0.5</v>
      </c>
      <c r="CL177">
        <v>0.5</v>
      </c>
      <c r="CM177">
        <v>0.5</v>
      </c>
      <c r="CN177">
        <v>0</v>
      </c>
      <c r="CO177">
        <v>0</v>
      </c>
      <c r="CP177">
        <v>0</v>
      </c>
      <c r="CQ177">
        <v>0</v>
      </c>
      <c r="CR177">
        <v>0.5</v>
      </c>
      <c r="CS177">
        <v>0</v>
      </c>
      <c r="CT177">
        <v>0</v>
      </c>
      <c r="CU177">
        <v>2</v>
      </c>
      <c r="CV177">
        <v>0</v>
      </c>
      <c r="CW177">
        <v>0</v>
      </c>
      <c r="CX177">
        <v>0.5</v>
      </c>
      <c r="CY177">
        <v>0</v>
      </c>
      <c r="CZ177">
        <v>0.5</v>
      </c>
      <c r="DA177">
        <v>0.5</v>
      </c>
      <c r="DB177">
        <v>0</v>
      </c>
      <c r="DC177">
        <v>0.5</v>
      </c>
    </row>
    <row r="178" spans="1:107" x14ac:dyDescent="0.25">
      <c r="A178" t="s">
        <v>757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 s="21">
        <v>0.5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 s="21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</row>
    <row r="179" spans="1:107" x14ac:dyDescent="0.25">
      <c r="A179" t="s">
        <v>758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0.5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0.5</v>
      </c>
      <c r="AS179">
        <v>0</v>
      </c>
      <c r="AT179" s="21">
        <v>0.5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0.5</v>
      </c>
      <c r="CG179">
        <v>0</v>
      </c>
      <c r="CH179">
        <v>0</v>
      </c>
      <c r="CI179" s="21">
        <v>0</v>
      </c>
      <c r="CJ179">
        <v>0.5</v>
      </c>
      <c r="CK179">
        <v>0.5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</row>
    <row r="180" spans="1:107" x14ac:dyDescent="0.25">
      <c r="A180" t="s">
        <v>759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 s="21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 s="21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0.5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</row>
    <row r="181" spans="1:107" x14ac:dyDescent="0.25">
      <c r="A181" t="s">
        <v>760</v>
      </c>
      <c r="B181">
        <v>0</v>
      </c>
      <c r="C181">
        <v>4</v>
      </c>
      <c r="D181">
        <v>5</v>
      </c>
      <c r="E181">
        <v>0</v>
      </c>
      <c r="F181">
        <v>0</v>
      </c>
      <c r="G181">
        <v>2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4</v>
      </c>
      <c r="N181">
        <v>0</v>
      </c>
      <c r="O181">
        <v>0</v>
      </c>
      <c r="P181">
        <v>4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</v>
      </c>
      <c r="AE181">
        <v>1</v>
      </c>
      <c r="AF181">
        <v>2</v>
      </c>
      <c r="AG181">
        <v>0</v>
      </c>
      <c r="AH181">
        <v>0</v>
      </c>
      <c r="AI181">
        <v>3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 s="21">
        <v>3</v>
      </c>
      <c r="AU181">
        <v>0</v>
      </c>
      <c r="AV181">
        <v>3</v>
      </c>
      <c r="AW181">
        <v>0</v>
      </c>
      <c r="AX181">
        <v>0</v>
      </c>
      <c r="AY181">
        <v>0</v>
      </c>
      <c r="AZ181">
        <v>5</v>
      </c>
      <c r="BA181">
        <v>0</v>
      </c>
      <c r="BB181">
        <v>0</v>
      </c>
      <c r="BC181">
        <v>0</v>
      </c>
      <c r="BD181">
        <v>0</v>
      </c>
      <c r="BE181">
        <v>5</v>
      </c>
      <c r="BF181">
        <v>0</v>
      </c>
      <c r="BG181">
        <v>0</v>
      </c>
      <c r="BH181">
        <v>0</v>
      </c>
      <c r="BI181">
        <v>0</v>
      </c>
      <c r="BJ181">
        <v>3</v>
      </c>
      <c r="BK181">
        <v>0</v>
      </c>
      <c r="BL181">
        <v>0</v>
      </c>
      <c r="BM181">
        <v>0</v>
      </c>
      <c r="BN181">
        <v>0</v>
      </c>
      <c r="BO181">
        <v>2</v>
      </c>
      <c r="BP181">
        <v>5</v>
      </c>
      <c r="BQ181">
        <v>5</v>
      </c>
      <c r="BR181">
        <v>4</v>
      </c>
      <c r="BS181">
        <v>4</v>
      </c>
      <c r="BT181">
        <v>5</v>
      </c>
      <c r="BU181">
        <v>3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1</v>
      </c>
      <c r="CG181">
        <v>0</v>
      </c>
      <c r="CH181">
        <v>0</v>
      </c>
      <c r="CI181" s="21">
        <v>1</v>
      </c>
      <c r="CJ181">
        <v>4</v>
      </c>
      <c r="CK181">
        <v>2</v>
      </c>
      <c r="CL181">
        <v>0</v>
      </c>
      <c r="CM181">
        <v>0</v>
      </c>
      <c r="CN181">
        <v>0</v>
      </c>
      <c r="CO181">
        <v>0</v>
      </c>
      <c r="CP181">
        <v>2</v>
      </c>
      <c r="CQ181">
        <v>2</v>
      </c>
      <c r="CR181">
        <v>1</v>
      </c>
      <c r="CS181">
        <v>0</v>
      </c>
      <c r="CT181">
        <v>3</v>
      </c>
      <c r="CU181">
        <v>3</v>
      </c>
      <c r="CV181">
        <v>0</v>
      </c>
      <c r="CW181">
        <v>1</v>
      </c>
      <c r="CX181">
        <v>4</v>
      </c>
      <c r="CY181">
        <v>0</v>
      </c>
      <c r="CZ181">
        <v>5</v>
      </c>
      <c r="DA181">
        <v>2</v>
      </c>
      <c r="DB181">
        <v>0</v>
      </c>
      <c r="DC181">
        <v>0</v>
      </c>
    </row>
    <row r="182" spans="1:107" x14ac:dyDescent="0.25">
      <c r="A182" t="s">
        <v>761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 s="21">
        <v>2</v>
      </c>
      <c r="AU182">
        <v>1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1</v>
      </c>
      <c r="BP182">
        <v>4</v>
      </c>
      <c r="BQ182">
        <v>4</v>
      </c>
      <c r="BR182">
        <v>4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 s="21">
        <v>0</v>
      </c>
      <c r="CJ182">
        <v>1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1</v>
      </c>
      <c r="CQ182">
        <v>2</v>
      </c>
      <c r="CR182">
        <v>0</v>
      </c>
      <c r="CS182">
        <v>0</v>
      </c>
      <c r="CT182">
        <v>2</v>
      </c>
      <c r="CU182">
        <v>2</v>
      </c>
      <c r="CV182">
        <v>0</v>
      </c>
      <c r="CW182">
        <v>0</v>
      </c>
      <c r="CX182">
        <v>2</v>
      </c>
      <c r="CY182">
        <v>0</v>
      </c>
      <c r="CZ182">
        <v>1</v>
      </c>
      <c r="DA182">
        <v>0</v>
      </c>
      <c r="DB182">
        <v>0</v>
      </c>
      <c r="DC182">
        <v>0</v>
      </c>
    </row>
    <row r="183" spans="1:107" x14ac:dyDescent="0.25">
      <c r="A183" t="s">
        <v>762</v>
      </c>
      <c r="B183">
        <v>0.5</v>
      </c>
      <c r="C183">
        <v>1</v>
      </c>
      <c r="D183">
        <v>0.5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0.5</v>
      </c>
      <c r="L183">
        <v>0.5</v>
      </c>
      <c r="M183">
        <v>0</v>
      </c>
      <c r="N183">
        <v>0</v>
      </c>
      <c r="O183">
        <v>0</v>
      </c>
      <c r="P183">
        <v>0</v>
      </c>
      <c r="Q183">
        <v>0.5</v>
      </c>
      <c r="R183">
        <v>0</v>
      </c>
      <c r="S183">
        <v>0</v>
      </c>
      <c r="T183">
        <v>0</v>
      </c>
      <c r="U183">
        <v>0</v>
      </c>
      <c r="V183">
        <v>0.5</v>
      </c>
      <c r="W183">
        <v>0.5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0.5</v>
      </c>
      <c r="AS183">
        <v>0</v>
      </c>
      <c r="AT183" s="21">
        <v>0.5</v>
      </c>
      <c r="AU183">
        <v>0.5</v>
      </c>
      <c r="AV183">
        <v>0</v>
      </c>
      <c r="AW183">
        <v>0</v>
      </c>
      <c r="AX183">
        <v>0</v>
      </c>
      <c r="AY183">
        <v>0</v>
      </c>
      <c r="AZ183">
        <v>0.5</v>
      </c>
      <c r="BA183">
        <v>3</v>
      </c>
      <c r="BB183">
        <v>0</v>
      </c>
      <c r="BC183">
        <v>3</v>
      </c>
      <c r="BD183">
        <v>0.5</v>
      </c>
      <c r="BE183">
        <v>1</v>
      </c>
      <c r="BF183">
        <v>0.5</v>
      </c>
      <c r="BG183">
        <v>0</v>
      </c>
      <c r="BH183">
        <v>0</v>
      </c>
      <c r="BI183">
        <v>0</v>
      </c>
      <c r="BJ183">
        <v>0.5</v>
      </c>
      <c r="BK183">
        <v>0</v>
      </c>
      <c r="BL183">
        <v>0</v>
      </c>
      <c r="BM183">
        <v>0.5</v>
      </c>
      <c r="BN183">
        <v>0</v>
      </c>
      <c r="BO183">
        <v>2</v>
      </c>
      <c r="BP183">
        <v>1</v>
      </c>
      <c r="BQ183">
        <v>0.5</v>
      </c>
      <c r="BR183">
        <v>0</v>
      </c>
      <c r="BS183">
        <v>0</v>
      </c>
      <c r="BT183">
        <v>0.5</v>
      </c>
      <c r="BU183">
        <v>0</v>
      </c>
      <c r="BV183">
        <v>0</v>
      </c>
      <c r="BW183">
        <v>0</v>
      </c>
      <c r="BX183">
        <v>0</v>
      </c>
      <c r="BY183">
        <v>0.5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0.5</v>
      </c>
      <c r="CI183" s="21">
        <v>0</v>
      </c>
      <c r="CJ183">
        <v>0.5</v>
      </c>
      <c r="CK183">
        <v>0</v>
      </c>
      <c r="CL183">
        <v>0.5</v>
      </c>
      <c r="CM183">
        <v>0.5</v>
      </c>
      <c r="CN183">
        <v>0</v>
      </c>
      <c r="CO183">
        <v>0</v>
      </c>
      <c r="CP183">
        <v>2</v>
      </c>
      <c r="CQ183">
        <v>0.5</v>
      </c>
      <c r="CR183">
        <v>0</v>
      </c>
      <c r="CS183">
        <v>0</v>
      </c>
      <c r="CT183">
        <v>0.5</v>
      </c>
      <c r="CU183">
        <v>0.5</v>
      </c>
      <c r="CV183">
        <v>0</v>
      </c>
      <c r="CW183">
        <v>0.5</v>
      </c>
      <c r="CX183">
        <v>0.5</v>
      </c>
      <c r="CY183">
        <v>0.5</v>
      </c>
      <c r="CZ183">
        <v>2</v>
      </c>
      <c r="DA183">
        <v>0.5</v>
      </c>
      <c r="DB183">
        <v>0</v>
      </c>
      <c r="DC183">
        <v>0</v>
      </c>
    </row>
    <row r="184" spans="1:107" x14ac:dyDescent="0.25">
      <c r="A184" t="s">
        <v>763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5</v>
      </c>
      <c r="T184">
        <v>4</v>
      </c>
      <c r="U184">
        <v>0.5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2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4</v>
      </c>
      <c r="AT184" s="21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 s="21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4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</row>
    <row r="185" spans="1:107" x14ac:dyDescent="0.25">
      <c r="A185" t="s">
        <v>764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 s="21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 s="21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2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</row>
    <row r="186" spans="1:107" x14ac:dyDescent="0.25">
      <c r="A186" t="s">
        <v>765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0.5</v>
      </c>
      <c r="T186">
        <v>0.5</v>
      </c>
      <c r="U186">
        <v>0.5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0.5</v>
      </c>
      <c r="AT186" s="21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 s="21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0.5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</row>
    <row r="187" spans="1:107" x14ac:dyDescent="0.25">
      <c r="A187" t="s">
        <v>1424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4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</row>
    <row r="188" spans="1:107" x14ac:dyDescent="0.25">
      <c r="A188" t="s">
        <v>766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 s="21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0.5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 s="21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</row>
    <row r="189" spans="1:107" x14ac:dyDescent="0.25">
      <c r="A189" t="s">
        <v>767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 s="21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3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 s="21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</row>
    <row r="190" spans="1:107" x14ac:dyDescent="0.25">
      <c r="A190" t="s">
        <v>768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 s="21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 s="21">
        <v>0</v>
      </c>
      <c r="CJ190">
        <v>0</v>
      </c>
      <c r="CK190">
        <v>0</v>
      </c>
      <c r="CL190">
        <v>0.5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</row>
    <row r="191" spans="1:107" x14ac:dyDescent="0.25">
      <c r="A191" t="s">
        <v>1449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0.5</v>
      </c>
      <c r="O191">
        <v>0</v>
      </c>
      <c r="P191">
        <v>0</v>
      </c>
      <c r="Q191">
        <v>0.5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 s="2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 s="2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</row>
    <row r="192" spans="1:107" x14ac:dyDescent="0.25">
      <c r="A192" t="s">
        <v>1254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0.5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 s="21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 s="21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</row>
    <row r="193" spans="1:107" x14ac:dyDescent="0.25">
      <c r="A193" t="s">
        <v>578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 s="21">
        <v>0.5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 s="21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</row>
    <row r="194" spans="1:107" s="21" customFormat="1" x14ac:dyDescent="0.25">
      <c r="A194" s="21" t="s">
        <v>769</v>
      </c>
      <c r="B194" s="21">
        <v>0</v>
      </c>
      <c r="C194" s="21">
        <v>0</v>
      </c>
      <c r="D194" s="21">
        <v>0</v>
      </c>
      <c r="E194" s="21">
        <v>0</v>
      </c>
      <c r="F194" s="21">
        <v>0</v>
      </c>
      <c r="G194" s="21">
        <v>0</v>
      </c>
      <c r="H194" s="21">
        <v>0</v>
      </c>
      <c r="I194" s="21">
        <v>0</v>
      </c>
      <c r="J194" s="21">
        <v>0</v>
      </c>
      <c r="K194" s="21">
        <v>0</v>
      </c>
      <c r="L194" s="21">
        <v>0</v>
      </c>
      <c r="M194" s="21">
        <v>0</v>
      </c>
      <c r="N194" s="21">
        <v>0</v>
      </c>
      <c r="O194" s="21">
        <v>0</v>
      </c>
      <c r="P194" s="21">
        <v>0</v>
      </c>
      <c r="Q194" s="21">
        <v>0</v>
      </c>
      <c r="R194" s="21">
        <v>0</v>
      </c>
      <c r="S194" s="21">
        <v>0</v>
      </c>
      <c r="T194" s="21">
        <v>0</v>
      </c>
      <c r="U194" s="21">
        <v>0</v>
      </c>
      <c r="V194" s="21">
        <v>0</v>
      </c>
      <c r="W194" s="21">
        <v>0</v>
      </c>
      <c r="X194" s="21">
        <v>0</v>
      </c>
      <c r="Y194" s="21">
        <v>0</v>
      </c>
      <c r="Z194" s="21">
        <v>0</v>
      </c>
      <c r="AA194" s="21">
        <v>0</v>
      </c>
      <c r="AB194" s="21">
        <v>0.5</v>
      </c>
      <c r="AC194" s="21">
        <v>0.5</v>
      </c>
      <c r="AD194" s="21">
        <v>0</v>
      </c>
      <c r="AE194" s="21">
        <v>0</v>
      </c>
      <c r="AF194" s="21">
        <v>0</v>
      </c>
      <c r="AG194" s="21">
        <v>0</v>
      </c>
      <c r="AH194" s="21">
        <v>0</v>
      </c>
      <c r="AI194" s="21">
        <v>0</v>
      </c>
      <c r="AJ194" s="21">
        <v>0</v>
      </c>
      <c r="AK194" s="21">
        <v>0</v>
      </c>
      <c r="AL194" s="21">
        <v>0</v>
      </c>
      <c r="AM194" s="21">
        <v>0</v>
      </c>
      <c r="AN194" s="21">
        <v>0</v>
      </c>
      <c r="AO194" s="21">
        <v>0</v>
      </c>
      <c r="AP194" s="21">
        <v>0</v>
      </c>
      <c r="AQ194" s="21">
        <v>0</v>
      </c>
      <c r="AR194" s="21">
        <v>0</v>
      </c>
      <c r="AS194" s="21">
        <v>0</v>
      </c>
      <c r="AT194" s="21">
        <v>0</v>
      </c>
      <c r="AU194" s="21">
        <v>0</v>
      </c>
      <c r="AV194" s="21">
        <v>0</v>
      </c>
      <c r="AW194" s="21">
        <v>0</v>
      </c>
      <c r="AX194" s="21">
        <v>0</v>
      </c>
      <c r="AY194" s="21">
        <v>0</v>
      </c>
      <c r="AZ194" s="21">
        <v>0</v>
      </c>
      <c r="BA194" s="21">
        <v>0</v>
      </c>
      <c r="BB194" s="21">
        <v>0</v>
      </c>
      <c r="BC194" s="21">
        <v>0</v>
      </c>
      <c r="BD194" s="21">
        <v>0</v>
      </c>
      <c r="BE194" s="21">
        <v>0</v>
      </c>
      <c r="BF194" s="21">
        <v>0</v>
      </c>
      <c r="BG194" s="21">
        <v>0</v>
      </c>
      <c r="BH194" s="21">
        <v>0</v>
      </c>
      <c r="BI194" s="21">
        <v>0</v>
      </c>
      <c r="BJ194" s="21">
        <v>0</v>
      </c>
      <c r="BK194" s="21">
        <v>0</v>
      </c>
      <c r="BL194" s="21">
        <v>0</v>
      </c>
      <c r="BM194" s="21">
        <v>0</v>
      </c>
      <c r="BN194" s="21">
        <v>0</v>
      </c>
      <c r="BO194" s="21">
        <v>0</v>
      </c>
      <c r="BP194" s="21">
        <v>0</v>
      </c>
      <c r="BQ194" s="21">
        <v>0</v>
      </c>
      <c r="BR194" s="21">
        <v>0</v>
      </c>
      <c r="BS194" s="21">
        <v>0</v>
      </c>
      <c r="BT194" s="21">
        <v>0</v>
      </c>
      <c r="BU194" s="21">
        <v>0</v>
      </c>
      <c r="BV194" s="21">
        <v>0.5</v>
      </c>
      <c r="BW194" s="21">
        <v>0</v>
      </c>
      <c r="BX194" s="21">
        <v>0</v>
      </c>
      <c r="BY194" s="21">
        <v>0</v>
      </c>
      <c r="BZ194" s="21">
        <v>0</v>
      </c>
      <c r="CA194" s="21">
        <v>0</v>
      </c>
      <c r="CB194" s="21">
        <v>0</v>
      </c>
      <c r="CC194" s="21">
        <v>0</v>
      </c>
      <c r="CD194" s="21">
        <v>0</v>
      </c>
      <c r="CE194" s="21">
        <v>0</v>
      </c>
      <c r="CF194" s="21">
        <v>0</v>
      </c>
      <c r="CG194" s="21">
        <v>0</v>
      </c>
      <c r="CH194" s="21">
        <v>0</v>
      </c>
      <c r="CI194" s="21">
        <v>0</v>
      </c>
      <c r="CJ194" s="21">
        <v>0</v>
      </c>
      <c r="CK194" s="21">
        <v>0</v>
      </c>
      <c r="CL194" s="21">
        <v>0</v>
      </c>
      <c r="CM194" s="21">
        <v>0.5</v>
      </c>
      <c r="CN194" s="21">
        <v>0</v>
      </c>
      <c r="CO194" s="21">
        <v>0</v>
      </c>
      <c r="CP194" s="21">
        <v>0</v>
      </c>
      <c r="CQ194" s="21">
        <v>0.5</v>
      </c>
      <c r="CR194" s="21">
        <v>0</v>
      </c>
      <c r="CS194" s="21">
        <v>0</v>
      </c>
      <c r="CT194" s="21">
        <v>0</v>
      </c>
      <c r="CU194" s="21">
        <v>0.5</v>
      </c>
      <c r="CV194" s="21">
        <v>0</v>
      </c>
      <c r="CW194" s="21">
        <v>0</v>
      </c>
      <c r="CX194" s="21">
        <v>0</v>
      </c>
      <c r="CY194" s="21">
        <v>0</v>
      </c>
      <c r="CZ194" s="21">
        <v>0</v>
      </c>
      <c r="DA194" s="21">
        <v>0</v>
      </c>
      <c r="DB194" s="21">
        <v>0</v>
      </c>
      <c r="DC194" s="21">
        <v>0</v>
      </c>
    </row>
    <row r="195" spans="1:107" x14ac:dyDescent="0.25">
      <c r="A195" t="s">
        <v>770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 s="21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 s="21">
        <v>0</v>
      </c>
      <c r="CJ195">
        <v>0</v>
      </c>
      <c r="CK195">
        <v>0</v>
      </c>
      <c r="CL195">
        <v>0</v>
      </c>
      <c r="CM195">
        <v>1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0.5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</row>
    <row r="196" spans="1:107" x14ac:dyDescent="0.25">
      <c r="A196" t="s">
        <v>771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 s="21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 s="21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0.5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</row>
    <row r="197" spans="1:107" x14ac:dyDescent="0.25">
      <c r="A197" t="s">
        <v>772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0.5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3</v>
      </c>
      <c r="AT197" s="21">
        <v>1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 s="21">
        <v>0</v>
      </c>
      <c r="CJ197">
        <v>0</v>
      </c>
      <c r="CK197">
        <v>0</v>
      </c>
      <c r="CL197">
        <v>0</v>
      </c>
      <c r="CM197">
        <v>0.5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0.5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</row>
    <row r="198" spans="1:107" x14ac:dyDescent="0.25">
      <c r="A198" t="s">
        <v>773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 s="21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 s="21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0.5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</row>
    <row r="199" spans="1:107" x14ac:dyDescent="0.25">
      <c r="A199" t="s">
        <v>774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 s="21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 s="21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1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</row>
    <row r="200" spans="1:107" s="21" customFormat="1" x14ac:dyDescent="0.25">
      <c r="A200" s="21" t="s">
        <v>775</v>
      </c>
      <c r="B200" s="21">
        <v>3</v>
      </c>
      <c r="C200" s="21">
        <v>0</v>
      </c>
      <c r="D200" s="21">
        <v>0</v>
      </c>
      <c r="E200" s="21">
        <v>3</v>
      </c>
      <c r="F200" s="21">
        <v>0</v>
      </c>
      <c r="G200" s="21">
        <v>1</v>
      </c>
      <c r="H200" s="21">
        <v>0</v>
      </c>
      <c r="I200" s="21">
        <v>0</v>
      </c>
      <c r="J200" s="21">
        <v>0</v>
      </c>
      <c r="K200" s="21">
        <v>0</v>
      </c>
      <c r="L200" s="21">
        <v>0.5</v>
      </c>
      <c r="M200" s="21">
        <v>0</v>
      </c>
      <c r="N200" s="21">
        <v>2</v>
      </c>
      <c r="O200" s="21">
        <v>4</v>
      </c>
      <c r="P200" s="21">
        <v>0</v>
      </c>
      <c r="Q200" s="21">
        <v>4</v>
      </c>
      <c r="R200" s="21">
        <v>0</v>
      </c>
      <c r="S200" s="21">
        <v>2</v>
      </c>
      <c r="T200" s="21">
        <v>0</v>
      </c>
      <c r="U200" s="21">
        <v>1</v>
      </c>
      <c r="V200" s="21">
        <v>0.5</v>
      </c>
      <c r="W200" s="21">
        <v>1</v>
      </c>
      <c r="X200" s="21">
        <v>2</v>
      </c>
      <c r="Y200" s="21">
        <v>0</v>
      </c>
      <c r="Z200" s="21">
        <v>0</v>
      </c>
      <c r="AA200" s="21">
        <v>0</v>
      </c>
      <c r="AB200" s="21">
        <v>0</v>
      </c>
      <c r="AC200" s="21">
        <v>0.5</v>
      </c>
      <c r="AD200" s="21">
        <v>4</v>
      </c>
      <c r="AE200" s="21">
        <v>1</v>
      </c>
      <c r="AF200" s="21">
        <v>0</v>
      </c>
      <c r="AG200" s="21">
        <v>2</v>
      </c>
      <c r="AH200" s="21">
        <v>0</v>
      </c>
      <c r="AI200" s="21">
        <v>0</v>
      </c>
      <c r="AJ200" s="21">
        <v>2</v>
      </c>
      <c r="AK200" s="21">
        <v>0.5</v>
      </c>
      <c r="AL200" s="21">
        <v>0</v>
      </c>
      <c r="AM200" s="21">
        <v>0</v>
      </c>
      <c r="AN200" s="21">
        <v>0</v>
      </c>
      <c r="AO200" s="21">
        <v>0</v>
      </c>
      <c r="AP200" s="21">
        <v>0</v>
      </c>
      <c r="AQ200" s="21">
        <v>0</v>
      </c>
      <c r="AR200" s="21">
        <v>0.5</v>
      </c>
      <c r="AS200" s="21">
        <v>1</v>
      </c>
      <c r="AT200" s="21">
        <v>0</v>
      </c>
      <c r="AU200" s="21">
        <v>0</v>
      </c>
      <c r="AV200" s="21">
        <v>0</v>
      </c>
      <c r="AW200" s="21">
        <v>0</v>
      </c>
      <c r="AX200" s="21">
        <v>0</v>
      </c>
      <c r="AY200" s="21">
        <v>0</v>
      </c>
      <c r="AZ200" s="21">
        <v>0</v>
      </c>
      <c r="BA200" s="21">
        <v>0</v>
      </c>
      <c r="BB200" s="21">
        <v>0</v>
      </c>
      <c r="BC200" s="21">
        <v>0</v>
      </c>
      <c r="BD200" s="21">
        <v>0.5</v>
      </c>
      <c r="BE200" s="21">
        <v>0.5</v>
      </c>
      <c r="BF200" s="21">
        <v>2</v>
      </c>
      <c r="BG200" s="21">
        <v>0.5</v>
      </c>
      <c r="BH200" s="21">
        <v>0</v>
      </c>
      <c r="BI200" s="21">
        <v>0</v>
      </c>
      <c r="BJ200" s="21">
        <v>0</v>
      </c>
      <c r="BK200" s="21">
        <v>0</v>
      </c>
      <c r="BL200" s="21">
        <v>5</v>
      </c>
      <c r="BM200" s="21">
        <v>0</v>
      </c>
      <c r="BN200" s="21">
        <v>0</v>
      </c>
      <c r="BO200" s="21">
        <v>2</v>
      </c>
      <c r="BP200" s="21">
        <v>0</v>
      </c>
      <c r="BQ200" s="21">
        <v>2</v>
      </c>
      <c r="BR200" s="21">
        <v>5</v>
      </c>
      <c r="BS200" s="21">
        <v>0</v>
      </c>
      <c r="BT200" s="21">
        <v>0</v>
      </c>
      <c r="BU200" s="21">
        <v>0</v>
      </c>
      <c r="BV200" s="21">
        <v>0</v>
      </c>
      <c r="BW200" s="21">
        <v>0</v>
      </c>
      <c r="BX200" s="21">
        <v>1</v>
      </c>
      <c r="BY200" s="21">
        <v>1</v>
      </c>
      <c r="BZ200" s="21">
        <v>0</v>
      </c>
      <c r="CA200" s="21">
        <v>0</v>
      </c>
      <c r="CB200" s="21">
        <v>0</v>
      </c>
      <c r="CC200" s="21">
        <v>0</v>
      </c>
      <c r="CD200" s="21">
        <v>0</v>
      </c>
      <c r="CE200" s="21">
        <v>0</v>
      </c>
      <c r="CF200" s="21">
        <v>0</v>
      </c>
      <c r="CG200" s="21">
        <v>0</v>
      </c>
      <c r="CH200" s="21">
        <v>0</v>
      </c>
      <c r="CI200" s="21">
        <v>0</v>
      </c>
      <c r="CJ200" s="21">
        <v>0.5</v>
      </c>
      <c r="CK200" s="21">
        <v>0</v>
      </c>
      <c r="CL200" s="21">
        <v>0.5</v>
      </c>
      <c r="CM200" s="21">
        <v>0.5</v>
      </c>
      <c r="CN200" s="21">
        <v>0.5</v>
      </c>
      <c r="CO200" s="21">
        <v>0</v>
      </c>
      <c r="CP200" s="21">
        <v>0</v>
      </c>
      <c r="CQ200" s="21">
        <v>3</v>
      </c>
      <c r="CR200" s="21">
        <v>0</v>
      </c>
      <c r="CS200" s="21">
        <v>0.5</v>
      </c>
      <c r="CT200" s="21">
        <v>1</v>
      </c>
      <c r="CU200" s="21">
        <v>1</v>
      </c>
      <c r="CV200" s="21">
        <v>2</v>
      </c>
      <c r="CW200" s="21">
        <v>0</v>
      </c>
      <c r="CX200" s="21">
        <v>0</v>
      </c>
      <c r="CY200" s="21">
        <v>2</v>
      </c>
      <c r="CZ200" s="21">
        <v>0</v>
      </c>
      <c r="DA200" s="21">
        <v>0.5</v>
      </c>
      <c r="DB200" s="21">
        <v>0</v>
      </c>
      <c r="DC200" s="21">
        <v>0</v>
      </c>
    </row>
    <row r="201" spans="1:107" x14ac:dyDescent="0.25">
      <c r="A201" t="s">
        <v>776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 s="2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3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 s="2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</row>
    <row r="202" spans="1:107" x14ac:dyDescent="0.25">
      <c r="A202" t="s">
        <v>269</v>
      </c>
      <c r="B202">
        <v>0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 s="21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2</v>
      </c>
      <c r="CA202">
        <v>2</v>
      </c>
      <c r="CB202">
        <v>0</v>
      </c>
      <c r="CC202">
        <v>0</v>
      </c>
      <c r="CD202">
        <v>0</v>
      </c>
      <c r="CE202">
        <v>0.5</v>
      </c>
      <c r="CF202">
        <v>0</v>
      </c>
      <c r="CG202">
        <v>0</v>
      </c>
      <c r="CH202">
        <v>0</v>
      </c>
      <c r="CI202" s="21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3</v>
      </c>
      <c r="CZ202">
        <v>0</v>
      </c>
      <c r="DA202">
        <v>0</v>
      </c>
      <c r="DB202">
        <v>0</v>
      </c>
      <c r="DC202">
        <v>0</v>
      </c>
    </row>
    <row r="203" spans="1:107" x14ac:dyDescent="0.25">
      <c r="A203" t="s">
        <v>777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 s="21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 s="21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0.5</v>
      </c>
      <c r="CZ203">
        <v>0</v>
      </c>
      <c r="DA203">
        <v>0</v>
      </c>
      <c r="DB203">
        <v>0</v>
      </c>
      <c r="DC203">
        <v>0</v>
      </c>
    </row>
    <row r="204" spans="1:107" x14ac:dyDescent="0.25">
      <c r="A204" t="s">
        <v>1450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 s="21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0.5</v>
      </c>
      <c r="BW204">
        <v>0</v>
      </c>
      <c r="BX204">
        <v>0.5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 s="21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</row>
    <row r="205" spans="1:107" x14ac:dyDescent="0.25">
      <c r="A205" t="s">
        <v>778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 s="21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 s="21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0.5</v>
      </c>
      <c r="CZ205">
        <v>0</v>
      </c>
      <c r="DA205">
        <v>0</v>
      </c>
      <c r="DB205">
        <v>0</v>
      </c>
      <c r="DC205">
        <v>0</v>
      </c>
    </row>
    <row r="206" spans="1:107" x14ac:dyDescent="0.25">
      <c r="A206" t="s">
        <v>1451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0.5</v>
      </c>
      <c r="I206">
        <v>0.5</v>
      </c>
      <c r="J206">
        <v>0.5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 s="21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 s="21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</row>
    <row r="207" spans="1:107" x14ac:dyDescent="0.25">
      <c r="A207" t="s">
        <v>779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0.5</v>
      </c>
      <c r="AB207">
        <v>0</v>
      </c>
      <c r="AC207">
        <v>0.5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 s="21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0.5</v>
      </c>
      <c r="CG207">
        <v>0</v>
      </c>
      <c r="CH207">
        <v>0</v>
      </c>
      <c r="CI207" s="21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</row>
    <row r="208" spans="1:107" x14ac:dyDescent="0.25">
      <c r="A208" t="s">
        <v>780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0.5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 s="21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 s="21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</row>
    <row r="209" spans="1:107" x14ac:dyDescent="0.25">
      <c r="A209" t="s">
        <v>1454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0.5</v>
      </c>
      <c r="J209">
        <v>0.5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 s="21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 s="21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</row>
    <row r="210" spans="1:107" x14ac:dyDescent="0.25">
      <c r="A210" t="s">
        <v>781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0.5</v>
      </c>
      <c r="AA210">
        <v>0.5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 s="21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 s="21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</row>
    <row r="211" spans="1:107" x14ac:dyDescent="0.25">
      <c r="A211" t="s">
        <v>782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0.5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 s="2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 s="21">
        <v>0</v>
      </c>
      <c r="CJ211">
        <v>0</v>
      </c>
      <c r="CK211">
        <v>0</v>
      </c>
      <c r="CL211">
        <v>0.5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</row>
    <row r="212" spans="1:107" x14ac:dyDescent="0.25">
      <c r="A212" t="s">
        <v>783</v>
      </c>
      <c r="B212">
        <v>0</v>
      </c>
      <c r="C212">
        <v>0.5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0.5</v>
      </c>
      <c r="J212">
        <v>0.5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0.5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0.5</v>
      </c>
      <c r="AP212">
        <v>1</v>
      </c>
      <c r="AQ212">
        <v>0</v>
      </c>
      <c r="AR212">
        <v>0</v>
      </c>
      <c r="AS212">
        <v>0</v>
      </c>
      <c r="AT212" s="21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0.5</v>
      </c>
      <c r="BZ212">
        <v>0</v>
      </c>
      <c r="CA212">
        <v>0</v>
      </c>
      <c r="CB212">
        <v>0</v>
      </c>
      <c r="CC212">
        <v>0.5</v>
      </c>
      <c r="CD212">
        <v>0.5</v>
      </c>
      <c r="CE212">
        <v>0.5</v>
      </c>
      <c r="CF212">
        <v>0</v>
      </c>
      <c r="CG212">
        <v>0</v>
      </c>
      <c r="CH212">
        <v>0</v>
      </c>
      <c r="CI212" s="21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0.5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</row>
    <row r="213" spans="1:107" s="26" customFormat="1" x14ac:dyDescent="0.25">
      <c r="A213" s="26" t="s">
        <v>784</v>
      </c>
      <c r="B213" s="26">
        <v>0</v>
      </c>
      <c r="C213" s="26">
        <v>0</v>
      </c>
      <c r="D213" s="26">
        <v>0</v>
      </c>
      <c r="E213" s="26">
        <v>0</v>
      </c>
      <c r="F213" s="26">
        <v>0</v>
      </c>
      <c r="G213" s="26">
        <v>0</v>
      </c>
      <c r="H213" s="26">
        <v>0</v>
      </c>
      <c r="I213" s="26">
        <v>0</v>
      </c>
      <c r="J213" s="26">
        <v>0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0</v>
      </c>
      <c r="S213" s="26">
        <v>0</v>
      </c>
      <c r="T213" s="26">
        <v>0</v>
      </c>
      <c r="U213" s="26">
        <v>0</v>
      </c>
      <c r="V213" s="26">
        <v>0</v>
      </c>
      <c r="W213" s="26">
        <v>0</v>
      </c>
      <c r="X213" s="26">
        <v>0</v>
      </c>
      <c r="Y213" s="26">
        <v>0</v>
      </c>
      <c r="Z213" s="26">
        <v>0</v>
      </c>
      <c r="AA213" s="26">
        <v>0</v>
      </c>
      <c r="AB213" s="26">
        <v>0</v>
      </c>
      <c r="AC213" s="26">
        <v>0</v>
      </c>
      <c r="AD213" s="26">
        <v>0</v>
      </c>
      <c r="AE213" s="26">
        <v>0</v>
      </c>
      <c r="AF213" s="26">
        <v>0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6">
        <v>0</v>
      </c>
      <c r="AM213" s="26">
        <v>0</v>
      </c>
      <c r="AN213" s="26">
        <v>0</v>
      </c>
      <c r="AO213" s="26">
        <v>0</v>
      </c>
      <c r="AP213" s="26">
        <v>0</v>
      </c>
      <c r="AQ213" s="26">
        <v>0</v>
      </c>
      <c r="AR213" s="26">
        <v>0</v>
      </c>
      <c r="AS213" s="26">
        <v>0</v>
      </c>
      <c r="AT213" s="27">
        <v>0</v>
      </c>
      <c r="AU213" s="26">
        <v>0</v>
      </c>
      <c r="AV213" s="26">
        <v>0</v>
      </c>
      <c r="AW213" s="26">
        <v>0</v>
      </c>
      <c r="AX213" s="26">
        <v>0</v>
      </c>
      <c r="AY213" s="26">
        <v>0</v>
      </c>
      <c r="AZ213" s="26">
        <v>0</v>
      </c>
      <c r="BA213" s="26">
        <v>0</v>
      </c>
      <c r="BB213" s="26">
        <v>0</v>
      </c>
      <c r="BC213" s="26">
        <v>0</v>
      </c>
      <c r="BD213" s="26">
        <v>0</v>
      </c>
      <c r="BE213" s="26">
        <v>0</v>
      </c>
      <c r="BF213" s="26">
        <v>0</v>
      </c>
      <c r="BG213" s="26">
        <v>0</v>
      </c>
      <c r="BH213" s="26">
        <v>0</v>
      </c>
      <c r="BI213" s="26">
        <v>0</v>
      </c>
      <c r="BJ213" s="26">
        <v>0</v>
      </c>
      <c r="BK213" s="26">
        <v>0</v>
      </c>
      <c r="BL213" s="26">
        <v>0</v>
      </c>
      <c r="BM213" s="26">
        <v>0</v>
      </c>
      <c r="BN213" s="26">
        <v>0</v>
      </c>
      <c r="BO213" s="26">
        <v>0</v>
      </c>
      <c r="BP213" s="26">
        <v>0</v>
      </c>
      <c r="BQ213" s="26">
        <v>0</v>
      </c>
      <c r="BR213" s="26">
        <v>1</v>
      </c>
      <c r="BS213" s="26">
        <v>0</v>
      </c>
      <c r="BT213" s="26">
        <v>0</v>
      </c>
      <c r="BU213" s="26">
        <v>0</v>
      </c>
      <c r="BV213" s="26">
        <v>0</v>
      </c>
      <c r="BW213" s="26">
        <v>0</v>
      </c>
      <c r="BX213" s="26">
        <v>0</v>
      </c>
      <c r="BY213" s="26">
        <v>0</v>
      </c>
      <c r="BZ213" s="26">
        <v>0</v>
      </c>
      <c r="CA213" s="26">
        <v>0</v>
      </c>
      <c r="CB213" s="26">
        <v>0</v>
      </c>
      <c r="CC213" s="26">
        <v>1</v>
      </c>
      <c r="CD213" s="26">
        <v>0</v>
      </c>
      <c r="CE213" s="26">
        <v>0</v>
      </c>
      <c r="CF213" s="26">
        <v>0</v>
      </c>
      <c r="CG213" s="26">
        <v>0</v>
      </c>
      <c r="CH213" s="26">
        <v>0</v>
      </c>
      <c r="CI213" s="27">
        <v>0</v>
      </c>
      <c r="CJ213" s="26">
        <v>0</v>
      </c>
      <c r="CK213" s="26">
        <v>0</v>
      </c>
      <c r="CL213" s="26">
        <v>0</v>
      </c>
      <c r="CM213" s="26">
        <v>0</v>
      </c>
      <c r="CN213" s="26">
        <v>0</v>
      </c>
      <c r="CO213" s="26">
        <v>0</v>
      </c>
      <c r="CP213" s="26">
        <v>0</v>
      </c>
      <c r="CQ213" s="26">
        <v>0</v>
      </c>
      <c r="CR213" s="26">
        <v>0</v>
      </c>
      <c r="CS213" s="26">
        <v>0</v>
      </c>
      <c r="CT213" s="26">
        <v>0</v>
      </c>
      <c r="CU213" s="26">
        <v>0</v>
      </c>
      <c r="CV213" s="26">
        <v>0</v>
      </c>
      <c r="CW213" s="26">
        <v>0</v>
      </c>
      <c r="CX213" s="26">
        <v>0</v>
      </c>
      <c r="CY213" s="26">
        <v>0</v>
      </c>
      <c r="CZ213" s="26">
        <v>0</v>
      </c>
      <c r="DA213" s="26">
        <v>0</v>
      </c>
      <c r="DB213" s="26">
        <v>0</v>
      </c>
      <c r="DC213" s="26">
        <v>0</v>
      </c>
    </row>
    <row r="214" spans="1:107" x14ac:dyDescent="0.25">
      <c r="A214" t="s">
        <v>785</v>
      </c>
      <c r="B214">
        <v>0</v>
      </c>
      <c r="C214">
        <v>0</v>
      </c>
      <c r="D214">
        <v>0</v>
      </c>
      <c r="E214">
        <v>0.5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0.5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0.5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0.5</v>
      </c>
      <c r="AM214">
        <v>0</v>
      </c>
      <c r="AN214">
        <v>1</v>
      </c>
      <c r="AO214">
        <v>0</v>
      </c>
      <c r="AP214">
        <v>0</v>
      </c>
      <c r="AQ214">
        <v>1</v>
      </c>
      <c r="AR214">
        <v>0</v>
      </c>
      <c r="AS214">
        <v>0</v>
      </c>
      <c r="AT214" s="21">
        <v>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2</v>
      </c>
      <c r="BR214">
        <v>2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1</v>
      </c>
      <c r="CA214">
        <v>0</v>
      </c>
      <c r="CB214">
        <v>0</v>
      </c>
      <c r="CC214">
        <v>0</v>
      </c>
      <c r="CD214">
        <v>0.5</v>
      </c>
      <c r="CE214">
        <v>0</v>
      </c>
      <c r="CF214">
        <v>0</v>
      </c>
      <c r="CG214">
        <v>0.5</v>
      </c>
      <c r="CH214">
        <v>0</v>
      </c>
      <c r="CI214" s="21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1</v>
      </c>
      <c r="CR214">
        <v>0</v>
      </c>
      <c r="CS214">
        <v>0</v>
      </c>
      <c r="CT214">
        <v>1</v>
      </c>
      <c r="CU214">
        <v>0</v>
      </c>
      <c r="CV214">
        <v>0.5</v>
      </c>
      <c r="CW214">
        <v>1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</row>
    <row r="215" spans="1:107" x14ac:dyDescent="0.25">
      <c r="A215" t="s">
        <v>786</v>
      </c>
      <c r="B215">
        <v>0.5</v>
      </c>
      <c r="C215">
        <v>0</v>
      </c>
      <c r="D215">
        <v>1</v>
      </c>
      <c r="E215">
        <v>0.5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0.5</v>
      </c>
      <c r="T215">
        <v>0.5</v>
      </c>
      <c r="U215">
        <v>0.5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0.5</v>
      </c>
      <c r="AD215">
        <v>0.5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0.5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 s="21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0.5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1</v>
      </c>
      <c r="BR215">
        <v>0.5</v>
      </c>
      <c r="BS215">
        <v>0</v>
      </c>
      <c r="BT215">
        <v>0.5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0.5</v>
      </c>
      <c r="CA215">
        <v>1</v>
      </c>
      <c r="CB215">
        <v>0</v>
      </c>
      <c r="CC215">
        <v>0</v>
      </c>
      <c r="CD215">
        <v>0.5</v>
      </c>
      <c r="CE215">
        <v>0</v>
      </c>
      <c r="CF215">
        <v>0</v>
      </c>
      <c r="CG215">
        <v>1</v>
      </c>
      <c r="CH215">
        <v>0</v>
      </c>
      <c r="CI215" s="21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0.5</v>
      </c>
      <c r="CU215">
        <v>0.5</v>
      </c>
      <c r="CV215">
        <v>0</v>
      </c>
      <c r="CW215">
        <v>0.5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</row>
    <row r="216" spans="1:107" x14ac:dyDescent="0.25">
      <c r="A216" t="s">
        <v>787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 s="21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1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 s="21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</row>
    <row r="217" spans="1:107" x14ac:dyDescent="0.25">
      <c r="A217" t="s">
        <v>788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0.5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0.5</v>
      </c>
      <c r="AD217">
        <v>2</v>
      </c>
      <c r="AE217">
        <v>0.5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 s="21">
        <v>1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2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2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2</v>
      </c>
      <c r="CA217">
        <v>1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 s="21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</row>
    <row r="218" spans="1:107" x14ac:dyDescent="0.25">
      <c r="A218" t="s">
        <v>789</v>
      </c>
      <c r="B218">
        <v>0.5</v>
      </c>
      <c r="C218">
        <v>0.5</v>
      </c>
      <c r="D218">
        <v>1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0.5</v>
      </c>
      <c r="L218">
        <v>0</v>
      </c>
      <c r="M218">
        <v>0.5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0.5</v>
      </c>
      <c r="X218">
        <v>0</v>
      </c>
      <c r="Y218">
        <v>0</v>
      </c>
      <c r="Z218">
        <v>0.5</v>
      </c>
      <c r="AA218">
        <v>0</v>
      </c>
      <c r="AB218">
        <v>0.5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0.5</v>
      </c>
      <c r="AQ218">
        <v>0</v>
      </c>
      <c r="AR218">
        <v>0</v>
      </c>
      <c r="AS218">
        <v>0</v>
      </c>
      <c r="AT218" s="21">
        <v>0.5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0.5</v>
      </c>
      <c r="BC218">
        <v>0</v>
      </c>
      <c r="BD218">
        <v>0</v>
      </c>
      <c r="BE218">
        <v>0</v>
      </c>
      <c r="BF218">
        <v>0.5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2</v>
      </c>
      <c r="BS218">
        <v>0</v>
      </c>
      <c r="BT218">
        <v>0.5</v>
      </c>
      <c r="BU218">
        <v>0</v>
      </c>
      <c r="BV218">
        <v>0</v>
      </c>
      <c r="BW218">
        <v>0</v>
      </c>
      <c r="BX218">
        <v>0.5</v>
      </c>
      <c r="BY218">
        <v>0.5</v>
      </c>
      <c r="BZ218">
        <v>1</v>
      </c>
      <c r="CA218">
        <v>1</v>
      </c>
      <c r="CB218">
        <v>0.5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 s="21">
        <v>0</v>
      </c>
      <c r="CJ218">
        <v>0</v>
      </c>
      <c r="CK218">
        <v>0</v>
      </c>
      <c r="CL218">
        <v>0.5</v>
      </c>
      <c r="CM218">
        <v>0</v>
      </c>
      <c r="CN218">
        <v>0.5</v>
      </c>
      <c r="CO218">
        <v>0</v>
      </c>
      <c r="CP218">
        <v>0</v>
      </c>
      <c r="CQ218">
        <v>0</v>
      </c>
      <c r="CR218">
        <v>0.5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0.5</v>
      </c>
      <c r="CY218">
        <v>0.5</v>
      </c>
      <c r="CZ218">
        <v>0</v>
      </c>
      <c r="DA218">
        <v>0</v>
      </c>
      <c r="DB218">
        <v>0</v>
      </c>
      <c r="DC218">
        <v>0</v>
      </c>
    </row>
    <row r="219" spans="1:107" x14ac:dyDescent="0.25">
      <c r="A219" t="s">
        <v>790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0.5</v>
      </c>
      <c r="AT219" s="21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0.5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 s="21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</row>
    <row r="220" spans="1:107" x14ac:dyDescent="0.25">
      <c r="A220" t="s">
        <v>791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 s="21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 s="21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</row>
    <row r="221" spans="1:107" x14ac:dyDescent="0.25">
      <c r="A221" s="7" t="s">
        <v>1455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0.5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 s="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 s="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</row>
    <row r="222" spans="1:107" x14ac:dyDescent="0.25">
      <c r="A222" t="s">
        <v>792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0.5</v>
      </c>
      <c r="AA222">
        <v>0</v>
      </c>
      <c r="AB222">
        <v>0</v>
      </c>
      <c r="AC222">
        <v>0.5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 s="21">
        <v>1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 s="21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</row>
    <row r="223" spans="1:107" x14ac:dyDescent="0.25">
      <c r="A223" t="s">
        <v>793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0.5</v>
      </c>
      <c r="I223">
        <v>0.5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0.5</v>
      </c>
      <c r="W223">
        <v>0</v>
      </c>
      <c r="X223">
        <v>0</v>
      </c>
      <c r="Y223">
        <v>0</v>
      </c>
      <c r="Z223">
        <v>0.5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0.5</v>
      </c>
      <c r="AI223">
        <v>0</v>
      </c>
      <c r="AJ223">
        <v>0.5</v>
      </c>
      <c r="AK223">
        <v>0.5</v>
      </c>
      <c r="AL223">
        <v>0</v>
      </c>
      <c r="AM223">
        <v>0</v>
      </c>
      <c r="AN223">
        <v>0</v>
      </c>
      <c r="AO223">
        <v>0.5</v>
      </c>
      <c r="AP223">
        <v>0.5</v>
      </c>
      <c r="AQ223">
        <v>0</v>
      </c>
      <c r="AR223">
        <v>0</v>
      </c>
      <c r="AS223">
        <v>0.5</v>
      </c>
      <c r="AT223" s="21">
        <v>0.5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0.5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0.5</v>
      </c>
      <c r="CC223">
        <v>0.5</v>
      </c>
      <c r="CD223">
        <v>0</v>
      </c>
      <c r="CE223">
        <v>0.5</v>
      </c>
      <c r="CF223">
        <v>0.5</v>
      </c>
      <c r="CG223">
        <v>0</v>
      </c>
      <c r="CH223">
        <v>0</v>
      </c>
      <c r="CI223" s="21">
        <v>0</v>
      </c>
      <c r="CJ223">
        <v>0</v>
      </c>
      <c r="CK223">
        <v>1</v>
      </c>
      <c r="CL223">
        <v>0.5</v>
      </c>
      <c r="CM223">
        <v>0</v>
      </c>
      <c r="CN223">
        <v>0</v>
      </c>
      <c r="CO223">
        <v>0</v>
      </c>
      <c r="CP223">
        <v>0</v>
      </c>
      <c r="CQ223">
        <v>0.5</v>
      </c>
      <c r="CR223">
        <v>0</v>
      </c>
      <c r="CS223">
        <v>0</v>
      </c>
      <c r="CT223">
        <v>0.5</v>
      </c>
      <c r="CU223">
        <v>1</v>
      </c>
      <c r="CV223">
        <v>0.5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</row>
    <row r="224" spans="1:107" x14ac:dyDescent="0.25">
      <c r="A224" t="s">
        <v>794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0.5</v>
      </c>
      <c r="R224">
        <v>0</v>
      </c>
      <c r="S224">
        <v>0</v>
      </c>
      <c r="T224">
        <v>0.5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 s="21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 s="21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</row>
    <row r="225" spans="1:107" x14ac:dyDescent="0.25">
      <c r="A225" t="s">
        <v>795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 s="21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0.5</v>
      </c>
      <c r="CI225" s="21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</row>
    <row r="226" spans="1:107" x14ac:dyDescent="0.25">
      <c r="A226" t="s">
        <v>796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0.5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 s="21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 s="21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</row>
    <row r="227" spans="1:107" x14ac:dyDescent="0.25">
      <c r="A227" t="s">
        <v>797</v>
      </c>
      <c r="B227">
        <v>0.5</v>
      </c>
      <c r="C227">
        <v>2</v>
      </c>
      <c r="D227">
        <v>1</v>
      </c>
      <c r="E227">
        <v>0.5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2</v>
      </c>
      <c r="O227">
        <v>0</v>
      </c>
      <c r="P227">
        <v>0</v>
      </c>
      <c r="Q227">
        <v>0.5</v>
      </c>
      <c r="R227">
        <v>0</v>
      </c>
      <c r="S227">
        <v>2</v>
      </c>
      <c r="T227">
        <v>2</v>
      </c>
      <c r="U227">
        <v>0.5</v>
      </c>
      <c r="V227">
        <v>0.5</v>
      </c>
      <c r="W227">
        <v>1</v>
      </c>
      <c r="X227">
        <v>0.5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1</v>
      </c>
      <c r="AH227">
        <v>0.5</v>
      </c>
      <c r="AI227">
        <v>1</v>
      </c>
      <c r="AJ227">
        <v>0.5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0.5</v>
      </c>
      <c r="AS227">
        <v>0</v>
      </c>
      <c r="AT227" s="21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0.5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0.5</v>
      </c>
      <c r="BN227">
        <v>0</v>
      </c>
      <c r="BO227">
        <v>1</v>
      </c>
      <c r="BP227">
        <v>0.5</v>
      </c>
      <c r="BQ227">
        <v>1</v>
      </c>
      <c r="BR227">
        <v>2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 s="21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0.5</v>
      </c>
      <c r="CQ227">
        <v>0.5</v>
      </c>
      <c r="CR227">
        <v>0</v>
      </c>
      <c r="CS227">
        <v>0</v>
      </c>
      <c r="CT227">
        <v>0.5</v>
      </c>
      <c r="CU227">
        <v>1</v>
      </c>
      <c r="CV227">
        <v>1</v>
      </c>
      <c r="CW227">
        <v>0</v>
      </c>
      <c r="CX227">
        <v>1</v>
      </c>
      <c r="CY227">
        <v>0.5</v>
      </c>
      <c r="CZ227">
        <v>0.5</v>
      </c>
      <c r="DA227">
        <v>0.5</v>
      </c>
      <c r="DB227">
        <v>0</v>
      </c>
      <c r="DC227">
        <v>0</v>
      </c>
    </row>
    <row r="228" spans="1:107" x14ac:dyDescent="0.25">
      <c r="A228" t="s">
        <v>1452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 s="21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 s="21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0.5</v>
      </c>
      <c r="CZ228">
        <v>0</v>
      </c>
      <c r="DA228">
        <v>0</v>
      </c>
      <c r="DB228">
        <v>0</v>
      </c>
      <c r="DC228">
        <v>0</v>
      </c>
    </row>
    <row r="229" spans="1:107" x14ac:dyDescent="0.25">
      <c r="A229" t="s">
        <v>798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 s="21">
        <v>0.5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 s="21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</row>
    <row r="230" spans="1:107" x14ac:dyDescent="0.25">
      <c r="A230" t="s">
        <v>1453</v>
      </c>
      <c r="B230">
        <v>0</v>
      </c>
      <c r="C230">
        <v>0</v>
      </c>
      <c r="D230">
        <v>0</v>
      </c>
      <c r="E230">
        <v>0</v>
      </c>
      <c r="F230">
        <v>0.5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 s="21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 s="21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</row>
    <row r="231" spans="1:107" x14ac:dyDescent="0.25">
      <c r="A231" t="s">
        <v>799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 s="2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 s="21">
        <v>0</v>
      </c>
      <c r="CJ231">
        <v>0</v>
      </c>
      <c r="CK231">
        <v>0</v>
      </c>
      <c r="CL231">
        <v>0</v>
      </c>
      <c r="CM231">
        <v>2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</row>
    <row r="232" spans="1:107" x14ac:dyDescent="0.25">
      <c r="A232" t="s">
        <v>800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 s="21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 s="21">
        <v>0</v>
      </c>
      <c r="CJ232">
        <v>0</v>
      </c>
      <c r="CK232">
        <v>0</v>
      </c>
      <c r="CL232">
        <v>0</v>
      </c>
      <c r="CM232">
        <v>0.5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</row>
    <row r="233" spans="1:107" x14ac:dyDescent="0.25">
      <c r="A233" t="s">
        <v>801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 s="21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 s="21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</row>
    <row r="234" spans="1:107" x14ac:dyDescent="0.25">
      <c r="A234" t="s">
        <v>274</v>
      </c>
      <c r="B234">
        <v>0</v>
      </c>
      <c r="C234">
        <v>0</v>
      </c>
      <c r="D234">
        <v>1</v>
      </c>
      <c r="E234">
        <v>0</v>
      </c>
      <c r="F234">
        <v>0</v>
      </c>
      <c r="G234">
        <v>0</v>
      </c>
      <c r="H234">
        <v>2</v>
      </c>
      <c r="I234">
        <v>2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2</v>
      </c>
      <c r="AQ234">
        <v>0</v>
      </c>
      <c r="AR234">
        <v>0</v>
      </c>
      <c r="AS234">
        <v>0</v>
      </c>
      <c r="AT234" s="21">
        <v>0.5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1</v>
      </c>
      <c r="BE234">
        <v>0</v>
      </c>
      <c r="BF234">
        <v>1</v>
      </c>
      <c r="BG234">
        <v>0.5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1</v>
      </c>
      <c r="BR234">
        <v>1</v>
      </c>
      <c r="BS234">
        <v>0</v>
      </c>
      <c r="BT234">
        <v>4</v>
      </c>
      <c r="BU234">
        <v>2</v>
      </c>
      <c r="BV234">
        <v>0</v>
      </c>
      <c r="BW234">
        <v>0</v>
      </c>
      <c r="BX234">
        <v>0</v>
      </c>
      <c r="BY234">
        <v>3</v>
      </c>
      <c r="BZ234">
        <v>5</v>
      </c>
      <c r="CA234">
        <v>5</v>
      </c>
      <c r="CB234">
        <v>0</v>
      </c>
      <c r="CC234">
        <v>0</v>
      </c>
      <c r="CD234">
        <v>0.5</v>
      </c>
      <c r="CE234">
        <v>0</v>
      </c>
      <c r="CF234">
        <v>0</v>
      </c>
      <c r="CG234">
        <v>0.5</v>
      </c>
      <c r="CH234">
        <v>0</v>
      </c>
      <c r="CI234" s="21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0.5</v>
      </c>
      <c r="CS234">
        <v>2</v>
      </c>
      <c r="CT234">
        <v>0</v>
      </c>
      <c r="CU234">
        <v>0</v>
      </c>
      <c r="CV234">
        <v>0</v>
      </c>
      <c r="CW234">
        <v>0</v>
      </c>
      <c r="CX234">
        <v>0.5</v>
      </c>
      <c r="CY234">
        <v>2</v>
      </c>
      <c r="CZ234">
        <v>0</v>
      </c>
      <c r="DA234">
        <v>0</v>
      </c>
      <c r="DB234">
        <v>0</v>
      </c>
      <c r="DC234">
        <v>0</v>
      </c>
    </row>
    <row r="235" spans="1:107" x14ac:dyDescent="0.25">
      <c r="A235" t="s">
        <v>802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 s="21">
        <v>0.5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 s="21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</row>
    <row r="236" spans="1:107" x14ac:dyDescent="0.25">
      <c r="A236" t="s">
        <v>803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0.5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 s="21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 s="21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</row>
    <row r="237" spans="1:107" x14ac:dyDescent="0.25">
      <c r="A237" t="s">
        <v>804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 s="21">
        <v>0.5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 s="21">
        <v>0</v>
      </c>
      <c r="CJ237">
        <v>0.5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0.5</v>
      </c>
      <c r="CZ237">
        <v>0</v>
      </c>
      <c r="DA237">
        <v>0</v>
      </c>
      <c r="DB237">
        <v>0</v>
      </c>
      <c r="DC237">
        <v>0</v>
      </c>
    </row>
    <row r="238" spans="1:107" s="21" customFormat="1" x14ac:dyDescent="0.25">
      <c r="A238" s="21" t="s">
        <v>805</v>
      </c>
      <c r="B238" s="21">
        <v>0</v>
      </c>
      <c r="C238" s="21">
        <v>0</v>
      </c>
      <c r="D238" s="21">
        <v>0</v>
      </c>
      <c r="E238" s="21">
        <v>0</v>
      </c>
      <c r="F238" s="21">
        <v>0</v>
      </c>
      <c r="G238" s="21">
        <v>0</v>
      </c>
      <c r="H238" s="21">
        <v>0</v>
      </c>
      <c r="I238" s="21">
        <v>0</v>
      </c>
      <c r="J238" s="21">
        <v>0</v>
      </c>
      <c r="K238" s="21">
        <v>0</v>
      </c>
      <c r="L238" s="21">
        <v>0</v>
      </c>
      <c r="M238" s="21">
        <v>0</v>
      </c>
      <c r="N238" s="21">
        <v>0</v>
      </c>
      <c r="O238" s="21">
        <v>0</v>
      </c>
      <c r="P238" s="21">
        <v>0</v>
      </c>
      <c r="Q238" s="21">
        <v>0</v>
      </c>
      <c r="R238" s="21">
        <v>0</v>
      </c>
      <c r="S238" s="21">
        <v>0</v>
      </c>
      <c r="T238" s="21">
        <v>0</v>
      </c>
      <c r="U238" s="21">
        <v>0</v>
      </c>
      <c r="V238" s="21">
        <v>0</v>
      </c>
      <c r="W238" s="21">
        <v>0</v>
      </c>
      <c r="X238" s="21">
        <v>0</v>
      </c>
      <c r="Y238" s="21">
        <v>0</v>
      </c>
      <c r="Z238" s="21">
        <v>0</v>
      </c>
      <c r="AA238" s="21">
        <v>0</v>
      </c>
      <c r="AB238" s="21">
        <v>0</v>
      </c>
      <c r="AC238" s="21">
        <v>0</v>
      </c>
      <c r="AD238" s="21">
        <v>0</v>
      </c>
      <c r="AE238" s="21">
        <v>0</v>
      </c>
      <c r="AF238" s="21">
        <v>0</v>
      </c>
      <c r="AG238" s="21">
        <v>0</v>
      </c>
      <c r="AH238" s="21">
        <v>0</v>
      </c>
      <c r="AI238" s="21">
        <v>0</v>
      </c>
      <c r="AJ238" s="21">
        <v>0.5</v>
      </c>
      <c r="AK238" s="21">
        <v>0</v>
      </c>
      <c r="AL238" s="21">
        <v>0</v>
      </c>
      <c r="AM238" s="21">
        <v>0</v>
      </c>
      <c r="AN238" s="21">
        <v>0</v>
      </c>
      <c r="AO238" s="21">
        <v>0</v>
      </c>
      <c r="AP238" s="21">
        <v>0</v>
      </c>
      <c r="AQ238" s="21">
        <v>0</v>
      </c>
      <c r="AR238" s="21">
        <v>0</v>
      </c>
      <c r="AS238" s="21">
        <v>0.5</v>
      </c>
      <c r="AT238" s="21">
        <v>0</v>
      </c>
      <c r="AU238" s="21">
        <v>0</v>
      </c>
      <c r="AV238" s="21">
        <v>0</v>
      </c>
      <c r="AW238" s="21">
        <v>0</v>
      </c>
      <c r="AX238" s="21">
        <v>0</v>
      </c>
      <c r="AY238" s="21">
        <v>0</v>
      </c>
      <c r="AZ238" s="21">
        <v>0</v>
      </c>
      <c r="BA238" s="21">
        <v>0</v>
      </c>
      <c r="BB238" s="21">
        <v>0</v>
      </c>
      <c r="BC238" s="21">
        <v>0</v>
      </c>
      <c r="BD238" s="21">
        <v>0</v>
      </c>
      <c r="BE238" s="21">
        <v>0</v>
      </c>
      <c r="BF238" s="21">
        <v>0</v>
      </c>
      <c r="BG238" s="21">
        <v>0</v>
      </c>
      <c r="BH238" s="21">
        <v>0</v>
      </c>
      <c r="BI238" s="21">
        <v>0</v>
      </c>
      <c r="BJ238" s="21">
        <v>0</v>
      </c>
      <c r="BK238" s="21">
        <v>0</v>
      </c>
      <c r="BL238" s="21">
        <v>0</v>
      </c>
      <c r="BM238" s="21">
        <v>0</v>
      </c>
      <c r="BN238" s="21">
        <v>0</v>
      </c>
      <c r="BO238" s="21">
        <v>0</v>
      </c>
      <c r="BP238" s="21">
        <v>0</v>
      </c>
      <c r="BQ238" s="21">
        <v>0</v>
      </c>
      <c r="BR238" s="21">
        <v>0</v>
      </c>
      <c r="BS238" s="21">
        <v>0</v>
      </c>
      <c r="BT238" s="21">
        <v>0</v>
      </c>
      <c r="BU238" s="21">
        <v>0</v>
      </c>
      <c r="BV238" s="21">
        <v>0</v>
      </c>
      <c r="BW238" s="21">
        <v>0</v>
      </c>
      <c r="BX238" s="21">
        <v>0</v>
      </c>
      <c r="BY238" s="21">
        <v>0</v>
      </c>
      <c r="BZ238" s="21">
        <v>0</v>
      </c>
      <c r="CA238" s="21">
        <v>0</v>
      </c>
      <c r="CB238" s="21">
        <v>0</v>
      </c>
      <c r="CC238" s="21">
        <v>0</v>
      </c>
      <c r="CD238" s="21">
        <v>0</v>
      </c>
      <c r="CE238" s="21">
        <v>0</v>
      </c>
      <c r="CF238" s="21">
        <v>0.5</v>
      </c>
      <c r="CG238" s="21">
        <v>0</v>
      </c>
      <c r="CH238" s="21">
        <v>0</v>
      </c>
      <c r="CI238" s="21">
        <v>0</v>
      </c>
      <c r="CJ238" s="21">
        <v>0</v>
      </c>
      <c r="CK238" s="21">
        <v>0</v>
      </c>
      <c r="CL238" s="21">
        <v>0.5</v>
      </c>
      <c r="CM238" s="21">
        <v>0</v>
      </c>
      <c r="CN238" s="21">
        <v>0</v>
      </c>
      <c r="CO238" s="21">
        <v>0</v>
      </c>
      <c r="CP238" s="21">
        <v>0</v>
      </c>
      <c r="CQ238" s="21">
        <v>0</v>
      </c>
      <c r="CR238" s="21">
        <v>0</v>
      </c>
      <c r="CS238" s="21">
        <v>0</v>
      </c>
      <c r="CT238" s="21">
        <v>0</v>
      </c>
      <c r="CU238" s="21">
        <v>0</v>
      </c>
      <c r="CV238" s="21">
        <v>0</v>
      </c>
      <c r="CW238" s="21">
        <v>0</v>
      </c>
      <c r="CX238" s="21">
        <v>0</v>
      </c>
      <c r="CY238" s="21">
        <v>0</v>
      </c>
      <c r="CZ238" s="21">
        <v>0</v>
      </c>
      <c r="DA238" s="21">
        <v>0</v>
      </c>
      <c r="DB238" s="21">
        <v>0</v>
      </c>
      <c r="DC238" s="21">
        <v>0</v>
      </c>
    </row>
    <row r="239" spans="1:107" x14ac:dyDescent="0.25">
      <c r="A239" t="s">
        <v>806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 s="21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0.5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0.5</v>
      </c>
      <c r="CG239">
        <v>0</v>
      </c>
      <c r="CH239">
        <v>0</v>
      </c>
      <c r="CI239" s="21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</row>
    <row r="240" spans="1:107" x14ac:dyDescent="0.25">
      <c r="A240" t="s">
        <v>807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0.5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 s="21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 s="21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</row>
    <row r="241" spans="1:107" x14ac:dyDescent="0.25">
      <c r="A241" t="s">
        <v>808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0.5</v>
      </c>
      <c r="M241">
        <v>0.5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0.5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0.5</v>
      </c>
      <c r="AS241">
        <v>1</v>
      </c>
      <c r="AT241" s="2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0.5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0.5</v>
      </c>
      <c r="CG241">
        <v>0</v>
      </c>
      <c r="CH241">
        <v>0</v>
      </c>
      <c r="CI241" s="21">
        <v>0</v>
      </c>
      <c r="CJ241">
        <v>0</v>
      </c>
      <c r="CK241">
        <v>0</v>
      </c>
      <c r="CL241">
        <v>0.5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</row>
    <row r="242" spans="1:107" x14ac:dyDescent="0.25">
      <c r="A242" t="s">
        <v>809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 s="21">
        <v>0.5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 s="21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0.5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</row>
    <row r="243" spans="1:107" x14ac:dyDescent="0.25">
      <c r="A243" t="s">
        <v>810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 s="21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 s="21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0.5</v>
      </c>
      <c r="CU243">
        <v>0.5</v>
      </c>
      <c r="CV243">
        <v>0.5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</row>
    <row r="244" spans="1:107" x14ac:dyDescent="0.25">
      <c r="A244" t="s">
        <v>811</v>
      </c>
      <c r="B244">
        <v>0</v>
      </c>
      <c r="C244">
        <v>0</v>
      </c>
      <c r="D244">
        <v>0</v>
      </c>
      <c r="E244">
        <v>0.5</v>
      </c>
      <c r="F244">
        <v>0</v>
      </c>
      <c r="G244">
        <v>0</v>
      </c>
      <c r="H244">
        <v>1</v>
      </c>
      <c r="I244">
        <v>0</v>
      </c>
      <c r="J244">
        <v>1</v>
      </c>
      <c r="K244">
        <v>0</v>
      </c>
      <c r="L244">
        <v>0.5</v>
      </c>
      <c r="M244">
        <v>0</v>
      </c>
      <c r="N244">
        <v>0.5</v>
      </c>
      <c r="O244">
        <v>0</v>
      </c>
      <c r="P244">
        <v>0</v>
      </c>
      <c r="Q244">
        <v>1</v>
      </c>
      <c r="R244">
        <v>0</v>
      </c>
      <c r="S244">
        <v>0.5</v>
      </c>
      <c r="T244">
        <v>1</v>
      </c>
      <c r="U244">
        <v>0.5</v>
      </c>
      <c r="V244">
        <v>0</v>
      </c>
      <c r="W244">
        <v>0.5</v>
      </c>
      <c r="X244">
        <v>0</v>
      </c>
      <c r="Y244">
        <v>0.5</v>
      </c>
      <c r="Z244">
        <v>3</v>
      </c>
      <c r="AA244">
        <v>1</v>
      </c>
      <c r="AB244">
        <v>0.5</v>
      </c>
      <c r="AC244">
        <v>0.5</v>
      </c>
      <c r="AD244">
        <v>0</v>
      </c>
      <c r="AE244">
        <v>0</v>
      </c>
      <c r="AF244">
        <v>0.5</v>
      </c>
      <c r="AG244">
        <v>0</v>
      </c>
      <c r="AH244">
        <v>0.5</v>
      </c>
      <c r="AI244">
        <v>0.5</v>
      </c>
      <c r="AJ244">
        <v>0.5</v>
      </c>
      <c r="AK244">
        <v>0</v>
      </c>
      <c r="AL244">
        <v>0</v>
      </c>
      <c r="AM244">
        <v>0</v>
      </c>
      <c r="AN244">
        <v>0.5</v>
      </c>
      <c r="AO244">
        <v>0.5</v>
      </c>
      <c r="AP244">
        <v>0</v>
      </c>
      <c r="AQ244">
        <v>0.5</v>
      </c>
      <c r="AR244">
        <v>0</v>
      </c>
      <c r="AS244">
        <v>0</v>
      </c>
      <c r="AT244" s="21">
        <v>0.5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0.5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</v>
      </c>
      <c r="CI244" s="21">
        <v>0.5</v>
      </c>
      <c r="CJ244">
        <v>0</v>
      </c>
      <c r="CK244">
        <v>0.5</v>
      </c>
      <c r="CL244">
        <v>0.5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</row>
  </sheetData>
  <autoFilter ref="A1:DC244" xr:uid="{00000000-0009-0000-0000-000003000000}"/>
  <pageMargins left="0.7" right="0.7" top="0.75" bottom="0.75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zoomScaleNormal="100" workbookViewId="0">
      <selection activeCell="H8" sqref="G3:H8"/>
    </sheetView>
  </sheetViews>
  <sheetFormatPr defaultColWidth="10.7109375" defaultRowHeight="15" x14ac:dyDescent="0.25"/>
  <cols>
    <col min="1" max="1" width="9.28515625" customWidth="1"/>
    <col min="2" max="2" width="23.85546875" customWidth="1"/>
    <col min="5" max="5" width="23" customWidth="1"/>
    <col min="7" max="7" width="25" customWidth="1"/>
    <col min="8" max="8" width="25.140625" customWidth="1"/>
  </cols>
  <sheetData>
    <row r="1" spans="1:8" ht="30" x14ac:dyDescent="0.25">
      <c r="A1" s="22" t="s">
        <v>812</v>
      </c>
      <c r="B1" s="22" t="s">
        <v>95</v>
      </c>
      <c r="D1" s="22" t="s">
        <v>812</v>
      </c>
      <c r="E1" s="22" t="s">
        <v>243</v>
      </c>
      <c r="G1" s="23" t="s">
        <v>813</v>
      </c>
      <c r="H1" s="22" t="s">
        <v>814</v>
      </c>
    </row>
    <row r="2" spans="1:8" x14ac:dyDescent="0.25">
      <c r="A2" s="24">
        <v>1</v>
      </c>
      <c r="B2" s="13" t="s">
        <v>815</v>
      </c>
      <c r="D2" s="24" t="s">
        <v>247</v>
      </c>
      <c r="E2" s="13" t="s">
        <v>816</v>
      </c>
      <c r="G2" s="24" t="s">
        <v>817</v>
      </c>
      <c r="H2" s="13" t="s">
        <v>818</v>
      </c>
    </row>
    <row r="3" spans="1:8" x14ac:dyDescent="0.25">
      <c r="A3" s="24">
        <v>2</v>
      </c>
      <c r="B3" s="13" t="s">
        <v>819</v>
      </c>
      <c r="D3" s="24" t="s">
        <v>177</v>
      </c>
      <c r="E3" s="13" t="s">
        <v>820</v>
      </c>
      <c r="G3" s="24" t="s">
        <v>126</v>
      </c>
      <c r="H3" s="13" t="s">
        <v>821</v>
      </c>
    </row>
    <row r="4" spans="1:8" x14ac:dyDescent="0.25">
      <c r="A4" s="24">
        <v>3</v>
      </c>
      <c r="B4" s="13" t="s">
        <v>822</v>
      </c>
      <c r="D4" s="24" t="s">
        <v>264</v>
      </c>
      <c r="E4" s="13" t="s">
        <v>823</v>
      </c>
      <c r="G4" s="24">
        <v>1</v>
      </c>
      <c r="H4" s="13" t="s">
        <v>824</v>
      </c>
    </row>
    <row r="5" spans="1:8" x14ac:dyDescent="0.25">
      <c r="A5" s="24">
        <v>4</v>
      </c>
      <c r="B5" s="13" t="s">
        <v>825</v>
      </c>
      <c r="D5" s="24" t="s">
        <v>271</v>
      </c>
      <c r="E5" s="13" t="s">
        <v>826</v>
      </c>
      <c r="G5" s="24">
        <v>2</v>
      </c>
      <c r="H5" s="13" t="s">
        <v>827</v>
      </c>
    </row>
    <row r="6" spans="1:8" x14ac:dyDescent="0.25">
      <c r="A6" s="24">
        <v>5</v>
      </c>
      <c r="B6" s="13" t="s">
        <v>828</v>
      </c>
      <c r="D6" s="24" t="s">
        <v>282</v>
      </c>
      <c r="E6" s="13" t="s">
        <v>829</v>
      </c>
      <c r="G6" s="24">
        <v>3</v>
      </c>
      <c r="H6" s="13" t="s">
        <v>830</v>
      </c>
    </row>
    <row r="7" spans="1:8" x14ac:dyDescent="0.25">
      <c r="A7" s="24">
        <v>6</v>
      </c>
      <c r="B7" s="13" t="s">
        <v>831</v>
      </c>
      <c r="D7" s="24" t="s">
        <v>279</v>
      </c>
      <c r="E7" s="13" t="s">
        <v>832</v>
      </c>
      <c r="G7" s="24">
        <v>4</v>
      </c>
      <c r="H7" s="13" t="s">
        <v>833</v>
      </c>
    </row>
    <row r="8" spans="1:8" x14ac:dyDescent="0.25">
      <c r="G8" s="24">
        <v>5</v>
      </c>
      <c r="H8" s="13" t="s">
        <v>834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0"/>
  <sheetViews>
    <sheetView topLeftCell="A132" zoomScale="70" zoomScaleNormal="70" workbookViewId="0">
      <selection activeCell="A105" sqref="A105"/>
    </sheetView>
  </sheetViews>
  <sheetFormatPr defaultColWidth="10.7109375" defaultRowHeight="15" x14ac:dyDescent="0.25"/>
  <cols>
    <col min="1" max="1" width="31.42578125" customWidth="1"/>
    <col min="3" max="3" width="26" style="25" customWidth="1"/>
    <col min="4" max="4" width="21.28515625" style="25" customWidth="1"/>
  </cols>
  <sheetData>
    <row r="1" spans="1:4" s="1" customFormat="1" x14ac:dyDescent="0.25">
      <c r="A1" s="1" t="s">
        <v>835</v>
      </c>
      <c r="B1" s="1" t="s">
        <v>836</v>
      </c>
      <c r="C1" s="1" t="s">
        <v>837</v>
      </c>
      <c r="D1" s="1" t="s">
        <v>838</v>
      </c>
    </row>
    <row r="2" spans="1:4" x14ac:dyDescent="0.25">
      <c r="A2" t="s">
        <v>267</v>
      </c>
      <c r="B2">
        <v>79319</v>
      </c>
      <c r="C2" s="25" t="s">
        <v>839</v>
      </c>
      <c r="D2" s="25" t="s">
        <v>840</v>
      </c>
    </row>
    <row r="3" spans="1:4" x14ac:dyDescent="0.25">
      <c r="A3" t="s">
        <v>841</v>
      </c>
      <c r="B3">
        <v>79323</v>
      </c>
      <c r="C3" s="25" t="s">
        <v>842</v>
      </c>
      <c r="D3" s="25" t="s">
        <v>843</v>
      </c>
    </row>
    <row r="4" spans="1:4" x14ac:dyDescent="0.25">
      <c r="A4" t="s">
        <v>844</v>
      </c>
      <c r="B4">
        <v>79325</v>
      </c>
      <c r="C4" s="25" t="s">
        <v>845</v>
      </c>
      <c r="D4" s="25" t="s">
        <v>846</v>
      </c>
    </row>
    <row r="5" spans="1:4" x14ac:dyDescent="0.25">
      <c r="A5" t="s">
        <v>847</v>
      </c>
      <c r="B5">
        <v>717025</v>
      </c>
      <c r="C5" s="25" t="s">
        <v>848</v>
      </c>
      <c r="D5" s="25" t="s">
        <v>849</v>
      </c>
    </row>
    <row r="6" spans="1:4" x14ac:dyDescent="0.25">
      <c r="A6" t="s">
        <v>850</v>
      </c>
      <c r="B6">
        <v>79327</v>
      </c>
      <c r="C6" s="25" t="s">
        <v>851</v>
      </c>
      <c r="D6" s="25" t="s">
        <v>852</v>
      </c>
    </row>
    <row r="7" spans="1:4" x14ac:dyDescent="0.25">
      <c r="A7" t="s">
        <v>853</v>
      </c>
      <c r="B7">
        <v>79333</v>
      </c>
      <c r="C7" s="25" t="s">
        <v>854</v>
      </c>
      <c r="D7" s="25" t="s">
        <v>855</v>
      </c>
    </row>
    <row r="8" spans="1:4" x14ac:dyDescent="0.25">
      <c r="A8" t="s">
        <v>856</v>
      </c>
      <c r="B8">
        <v>79345</v>
      </c>
      <c r="C8" s="25" t="s">
        <v>857</v>
      </c>
      <c r="D8" s="25" t="s">
        <v>858</v>
      </c>
    </row>
    <row r="9" spans="1:4" x14ac:dyDescent="0.25">
      <c r="A9" t="s">
        <v>859</v>
      </c>
      <c r="B9">
        <v>79349</v>
      </c>
      <c r="C9" s="25" t="s">
        <v>860</v>
      </c>
      <c r="D9" s="25" t="s">
        <v>861</v>
      </c>
    </row>
    <row r="10" spans="1:4" x14ac:dyDescent="0.25">
      <c r="A10" t="s">
        <v>862</v>
      </c>
      <c r="B10">
        <v>79350</v>
      </c>
      <c r="C10" s="25" t="s">
        <v>863</v>
      </c>
      <c r="D10" s="25" t="s">
        <v>864</v>
      </c>
    </row>
    <row r="11" spans="1:4" x14ac:dyDescent="0.25">
      <c r="A11" t="s">
        <v>348</v>
      </c>
      <c r="B11">
        <v>79734</v>
      </c>
      <c r="C11" s="25" t="s">
        <v>865</v>
      </c>
      <c r="D11" s="25" t="s">
        <v>866</v>
      </c>
    </row>
    <row r="12" spans="1:4" x14ac:dyDescent="0.25">
      <c r="A12" t="s">
        <v>867</v>
      </c>
      <c r="B12">
        <v>79763</v>
      </c>
      <c r="C12" s="25" t="s">
        <v>868</v>
      </c>
      <c r="D12" s="25" t="s">
        <v>869</v>
      </c>
    </row>
    <row r="13" spans="1:4" x14ac:dyDescent="0.25">
      <c r="A13" t="s">
        <v>870</v>
      </c>
      <c r="B13">
        <v>79766</v>
      </c>
      <c r="C13" s="25" t="s">
        <v>871</v>
      </c>
      <c r="D13" s="25" t="s">
        <v>872</v>
      </c>
    </row>
    <row r="14" spans="1:4" x14ac:dyDescent="0.25">
      <c r="A14" t="s">
        <v>873</v>
      </c>
      <c r="B14">
        <v>130715</v>
      </c>
      <c r="C14" s="25" t="s">
        <v>874</v>
      </c>
      <c r="D14" s="25" t="s">
        <v>875</v>
      </c>
    </row>
    <row r="15" spans="1:4" x14ac:dyDescent="0.25">
      <c r="A15" t="s">
        <v>257</v>
      </c>
      <c r="B15">
        <v>79779</v>
      </c>
      <c r="C15" s="25" t="s">
        <v>876</v>
      </c>
      <c r="D15" s="25" t="s">
        <v>877</v>
      </c>
    </row>
    <row r="16" spans="1:4" x14ac:dyDescent="0.25">
      <c r="A16" t="s">
        <v>464</v>
      </c>
      <c r="B16">
        <v>79783</v>
      </c>
      <c r="C16" s="25" t="s">
        <v>878</v>
      </c>
      <c r="D16" s="25" t="s">
        <v>879</v>
      </c>
    </row>
    <row r="17" spans="1:4" x14ac:dyDescent="0.25">
      <c r="A17" t="s">
        <v>880</v>
      </c>
      <c r="B17">
        <v>80334</v>
      </c>
      <c r="C17" s="25" t="s">
        <v>881</v>
      </c>
      <c r="D17" s="25" t="s">
        <v>882</v>
      </c>
    </row>
    <row r="18" spans="1:4" x14ac:dyDescent="0.25">
      <c r="A18" t="s">
        <v>883</v>
      </c>
      <c r="B18">
        <v>80824</v>
      </c>
      <c r="C18" s="25" t="s">
        <v>884</v>
      </c>
      <c r="D18" s="25" t="s">
        <v>885</v>
      </c>
    </row>
    <row r="19" spans="1:4" x14ac:dyDescent="0.25">
      <c r="A19" t="s">
        <v>886</v>
      </c>
      <c r="B19">
        <v>131226</v>
      </c>
      <c r="C19" s="25" t="s">
        <v>887</v>
      </c>
      <c r="D19" s="25" t="s">
        <v>888</v>
      </c>
    </row>
    <row r="20" spans="1:4" x14ac:dyDescent="0.25">
      <c r="A20" t="s">
        <v>889</v>
      </c>
      <c r="B20">
        <v>81567</v>
      </c>
      <c r="C20" s="25" t="s">
        <v>890</v>
      </c>
      <c r="D20" s="25" t="s">
        <v>891</v>
      </c>
    </row>
    <row r="21" spans="1:4" x14ac:dyDescent="0.25">
      <c r="A21" t="s">
        <v>892</v>
      </c>
      <c r="B21">
        <v>81569</v>
      </c>
      <c r="C21" s="25" t="s">
        <v>893</v>
      </c>
      <c r="D21" s="25" t="s">
        <v>894</v>
      </c>
    </row>
    <row r="22" spans="1:4" x14ac:dyDescent="0.25">
      <c r="A22" t="s">
        <v>895</v>
      </c>
      <c r="B22">
        <v>131230</v>
      </c>
      <c r="C22" s="25" t="s">
        <v>896</v>
      </c>
      <c r="D22" s="25" t="s">
        <v>897</v>
      </c>
    </row>
    <row r="23" spans="1:4" x14ac:dyDescent="0.25">
      <c r="A23" t="s">
        <v>898</v>
      </c>
      <c r="B23">
        <v>83481</v>
      </c>
      <c r="C23" s="25" t="s">
        <v>899</v>
      </c>
      <c r="D23" s="25" t="s">
        <v>900</v>
      </c>
    </row>
    <row r="24" spans="1:4" x14ac:dyDescent="0.25">
      <c r="A24" t="s">
        <v>901</v>
      </c>
      <c r="B24">
        <v>85903</v>
      </c>
      <c r="C24" s="25" t="s">
        <v>902</v>
      </c>
      <c r="D24" s="25" t="s">
        <v>903</v>
      </c>
    </row>
    <row r="25" spans="1:4" x14ac:dyDescent="0.25">
      <c r="A25" t="s">
        <v>402</v>
      </c>
      <c r="B25">
        <v>85904</v>
      </c>
      <c r="C25" s="25" t="s">
        <v>904</v>
      </c>
      <c r="D25" s="25" t="s">
        <v>905</v>
      </c>
    </row>
    <row r="26" spans="1:4" x14ac:dyDescent="0.25">
      <c r="A26" t="s">
        <v>906</v>
      </c>
      <c r="B26">
        <v>86817</v>
      </c>
      <c r="C26" s="25" t="s">
        <v>907</v>
      </c>
      <c r="D26" s="25" t="s">
        <v>908</v>
      </c>
    </row>
    <row r="27" spans="1:4" x14ac:dyDescent="0.25">
      <c r="A27" t="s">
        <v>909</v>
      </c>
      <c r="B27">
        <v>87143</v>
      </c>
      <c r="C27" s="25" t="s">
        <v>910</v>
      </c>
      <c r="D27" s="25" t="s">
        <v>911</v>
      </c>
    </row>
    <row r="28" spans="1:4" x14ac:dyDescent="0.25">
      <c r="A28" t="s">
        <v>426</v>
      </c>
      <c r="B28">
        <v>96700</v>
      </c>
      <c r="C28" s="25" t="s">
        <v>912</v>
      </c>
    </row>
    <row r="29" spans="1:4" x14ac:dyDescent="0.25">
      <c r="A29" t="s">
        <v>913</v>
      </c>
      <c r="B29">
        <v>89200</v>
      </c>
      <c r="C29" s="25" t="s">
        <v>914</v>
      </c>
      <c r="D29" s="25" t="s">
        <v>915</v>
      </c>
    </row>
    <row r="30" spans="1:4" x14ac:dyDescent="0.25">
      <c r="A30" t="s">
        <v>332</v>
      </c>
      <c r="B30">
        <v>89304</v>
      </c>
      <c r="C30" s="25" t="s">
        <v>916</v>
      </c>
      <c r="D30" s="25" t="s">
        <v>917</v>
      </c>
    </row>
    <row r="31" spans="1:4" x14ac:dyDescent="0.25">
      <c r="A31" t="s">
        <v>918</v>
      </c>
      <c r="B31">
        <v>89308</v>
      </c>
      <c r="C31" s="25" t="s">
        <v>919</v>
      </c>
      <c r="D31" s="25" t="s">
        <v>920</v>
      </c>
    </row>
    <row r="32" spans="1:4" x14ac:dyDescent="0.25">
      <c r="A32" t="s">
        <v>921</v>
      </c>
      <c r="B32">
        <v>89323</v>
      </c>
      <c r="C32" s="25" t="s">
        <v>922</v>
      </c>
      <c r="D32" s="25" t="s">
        <v>923</v>
      </c>
    </row>
    <row r="33" spans="1:4" x14ac:dyDescent="0.25">
      <c r="A33" t="s">
        <v>924</v>
      </c>
      <c r="B33">
        <v>89452</v>
      </c>
      <c r="C33" s="25" t="s">
        <v>925</v>
      </c>
      <c r="D33" s="25" t="s">
        <v>926</v>
      </c>
    </row>
    <row r="34" spans="1:4" x14ac:dyDescent="0.25">
      <c r="A34" t="s">
        <v>927</v>
      </c>
      <c r="B34">
        <v>89454</v>
      </c>
      <c r="C34" s="25" t="s">
        <v>928</v>
      </c>
      <c r="D34" s="25" t="s">
        <v>929</v>
      </c>
    </row>
    <row r="35" spans="1:4" x14ac:dyDescent="0.25">
      <c r="A35" t="s">
        <v>930</v>
      </c>
      <c r="B35">
        <v>89455</v>
      </c>
      <c r="C35" s="25" t="s">
        <v>931</v>
      </c>
      <c r="D35" s="25" t="s">
        <v>932</v>
      </c>
    </row>
    <row r="36" spans="1:4" x14ac:dyDescent="0.25">
      <c r="A36" t="s">
        <v>933</v>
      </c>
      <c r="B36">
        <v>621117</v>
      </c>
      <c r="C36" s="25" t="s">
        <v>934</v>
      </c>
      <c r="D36" s="25" t="s">
        <v>935</v>
      </c>
    </row>
    <row r="37" spans="1:4" x14ac:dyDescent="0.25">
      <c r="A37" t="s">
        <v>936</v>
      </c>
      <c r="B37">
        <v>89468</v>
      </c>
      <c r="C37" s="25" t="s">
        <v>937</v>
      </c>
      <c r="D37" s="25" t="s">
        <v>938</v>
      </c>
    </row>
    <row r="38" spans="1:4" x14ac:dyDescent="0.25">
      <c r="A38" t="s">
        <v>939</v>
      </c>
      <c r="B38">
        <v>447038</v>
      </c>
      <c r="C38" s="25" t="s">
        <v>940</v>
      </c>
      <c r="D38" s="25" t="s">
        <v>941</v>
      </c>
    </row>
    <row r="39" spans="1:4" x14ac:dyDescent="0.25">
      <c r="A39" t="s">
        <v>942</v>
      </c>
      <c r="B39">
        <v>90234</v>
      </c>
      <c r="C39" s="25" t="s">
        <v>943</v>
      </c>
      <c r="D39" s="25" t="s">
        <v>944</v>
      </c>
    </row>
    <row r="40" spans="1:4" x14ac:dyDescent="0.25">
      <c r="A40" t="s">
        <v>945</v>
      </c>
      <c r="B40">
        <v>90411</v>
      </c>
      <c r="C40" s="25" t="s">
        <v>946</v>
      </c>
      <c r="D40" s="25" t="s">
        <v>947</v>
      </c>
    </row>
    <row r="41" spans="1:4" x14ac:dyDescent="0.25">
      <c r="A41" t="s">
        <v>948</v>
      </c>
      <c r="B41">
        <v>91803</v>
      </c>
      <c r="C41" s="25" t="s">
        <v>949</v>
      </c>
      <c r="D41" s="25" t="s">
        <v>950</v>
      </c>
    </row>
    <row r="42" spans="1:4" x14ac:dyDescent="0.25">
      <c r="A42" t="s">
        <v>951</v>
      </c>
      <c r="B42">
        <v>91811</v>
      </c>
      <c r="C42" s="25" t="s">
        <v>952</v>
      </c>
      <c r="D42" s="25" t="s">
        <v>953</v>
      </c>
    </row>
    <row r="43" spans="1:4" x14ac:dyDescent="0.25">
      <c r="A43" t="s">
        <v>954</v>
      </c>
      <c r="B43">
        <v>91812</v>
      </c>
      <c r="C43" s="25" t="s">
        <v>955</v>
      </c>
      <c r="D43" s="25" t="s">
        <v>956</v>
      </c>
    </row>
    <row r="44" spans="1:4" x14ac:dyDescent="0.25">
      <c r="A44" t="s">
        <v>350</v>
      </c>
      <c r="B44">
        <v>92497</v>
      </c>
      <c r="C44" s="25" t="s">
        <v>957</v>
      </c>
      <c r="D44" s="25" t="s">
        <v>958</v>
      </c>
    </row>
    <row r="45" spans="1:4" x14ac:dyDescent="0.25">
      <c r="A45" t="s">
        <v>352</v>
      </c>
      <c r="B45">
        <v>92501</v>
      </c>
      <c r="C45" s="25" t="s">
        <v>959</v>
      </c>
    </row>
    <row r="46" spans="1:4" x14ac:dyDescent="0.25">
      <c r="A46" t="s">
        <v>273</v>
      </c>
      <c r="B46">
        <v>92606</v>
      </c>
      <c r="C46" s="25" t="s">
        <v>960</v>
      </c>
      <c r="D46" s="25" t="s">
        <v>961</v>
      </c>
    </row>
    <row r="47" spans="1:4" x14ac:dyDescent="0.25">
      <c r="A47" t="s">
        <v>962</v>
      </c>
      <c r="B47">
        <v>92824</v>
      </c>
      <c r="C47" s="25" t="s">
        <v>963</v>
      </c>
      <c r="D47" s="25" t="s">
        <v>964</v>
      </c>
    </row>
    <row r="48" spans="1:4" x14ac:dyDescent="0.25">
      <c r="A48" t="s">
        <v>318</v>
      </c>
      <c r="B48">
        <v>92864</v>
      </c>
      <c r="C48" s="25" t="s">
        <v>965</v>
      </c>
      <c r="D48" s="25" t="s">
        <v>966</v>
      </c>
    </row>
    <row r="49" spans="1:4" x14ac:dyDescent="0.25">
      <c r="A49" t="s">
        <v>280</v>
      </c>
      <c r="B49">
        <v>92876</v>
      </c>
      <c r="C49" s="25" t="s">
        <v>967</v>
      </c>
      <c r="D49" s="25" t="s">
        <v>968</v>
      </c>
    </row>
    <row r="50" spans="1:4" x14ac:dyDescent="0.25">
      <c r="A50" t="s">
        <v>969</v>
      </c>
      <c r="B50">
        <v>93471</v>
      </c>
      <c r="C50" s="25" t="s">
        <v>970</v>
      </c>
      <c r="D50" s="25" t="s">
        <v>971</v>
      </c>
    </row>
    <row r="51" spans="1:4" x14ac:dyDescent="0.25">
      <c r="A51" t="s">
        <v>972</v>
      </c>
      <c r="B51">
        <v>93570</v>
      </c>
      <c r="C51" s="25" t="s">
        <v>973</v>
      </c>
      <c r="D51" s="25" t="s">
        <v>974</v>
      </c>
    </row>
    <row r="52" spans="1:4" x14ac:dyDescent="0.25">
      <c r="A52" t="s">
        <v>975</v>
      </c>
      <c r="B52">
        <v>93585</v>
      </c>
      <c r="C52" s="25" t="s">
        <v>976</v>
      </c>
      <c r="D52" s="25" t="s">
        <v>977</v>
      </c>
    </row>
    <row r="53" spans="1:4" x14ac:dyDescent="0.25">
      <c r="A53" t="s">
        <v>978</v>
      </c>
      <c r="B53">
        <v>93590</v>
      </c>
      <c r="C53" s="25" t="s">
        <v>979</v>
      </c>
      <c r="D53" s="25" t="s">
        <v>980</v>
      </c>
    </row>
    <row r="54" spans="1:4" x14ac:dyDescent="0.25">
      <c r="A54" t="s">
        <v>981</v>
      </c>
      <c r="B54">
        <v>93734</v>
      </c>
      <c r="C54" s="25" t="s">
        <v>982</v>
      </c>
      <c r="D54" s="25" t="s">
        <v>983</v>
      </c>
    </row>
    <row r="55" spans="1:4" x14ac:dyDescent="0.25">
      <c r="A55" t="s">
        <v>278</v>
      </c>
      <c r="B55">
        <v>124467</v>
      </c>
      <c r="C55" s="25" t="s">
        <v>984</v>
      </c>
    </row>
    <row r="56" spans="1:4" x14ac:dyDescent="0.25">
      <c r="A56" t="s">
        <v>522</v>
      </c>
      <c r="B56">
        <v>94435</v>
      </c>
      <c r="C56" s="25" t="s">
        <v>985</v>
      </c>
    </row>
    <row r="57" spans="1:4" x14ac:dyDescent="0.25">
      <c r="A57" t="s">
        <v>986</v>
      </c>
      <c r="B57">
        <v>95047</v>
      </c>
      <c r="C57" s="25" t="s">
        <v>987</v>
      </c>
      <c r="D57" s="25" t="s">
        <v>988</v>
      </c>
    </row>
    <row r="58" spans="1:4" x14ac:dyDescent="0.25">
      <c r="A58" t="s">
        <v>989</v>
      </c>
      <c r="B58">
        <v>95048</v>
      </c>
      <c r="C58" s="25" t="s">
        <v>990</v>
      </c>
      <c r="D58" s="25" t="s">
        <v>991</v>
      </c>
    </row>
    <row r="59" spans="1:4" x14ac:dyDescent="0.25">
      <c r="A59" t="s">
        <v>992</v>
      </c>
      <c r="B59">
        <v>95831</v>
      </c>
      <c r="C59" s="25" t="s">
        <v>993</v>
      </c>
      <c r="D59" s="25" t="s">
        <v>994</v>
      </c>
    </row>
    <row r="60" spans="1:4" x14ac:dyDescent="0.25">
      <c r="A60" t="s">
        <v>995</v>
      </c>
      <c r="B60">
        <v>96659</v>
      </c>
      <c r="C60" s="25" t="s">
        <v>996</v>
      </c>
      <c r="D60" s="25" t="s">
        <v>997</v>
      </c>
    </row>
    <row r="61" spans="1:4" x14ac:dyDescent="0.25">
      <c r="A61" t="s">
        <v>476</v>
      </c>
      <c r="B61">
        <v>96667</v>
      </c>
      <c r="C61" s="25" t="s">
        <v>998</v>
      </c>
    </row>
    <row r="62" spans="1:4" x14ac:dyDescent="0.25">
      <c r="A62" t="s">
        <v>999</v>
      </c>
      <c r="B62">
        <v>192361</v>
      </c>
      <c r="C62" s="25" t="s">
        <v>1000</v>
      </c>
      <c r="D62" s="25" t="s">
        <v>1001</v>
      </c>
    </row>
    <row r="63" spans="1:4" x14ac:dyDescent="0.25">
      <c r="A63" t="s">
        <v>372</v>
      </c>
      <c r="B63">
        <v>609982</v>
      </c>
      <c r="C63" s="25" t="s">
        <v>1002</v>
      </c>
      <c r="D63" s="25" t="s">
        <v>1003</v>
      </c>
    </row>
    <row r="64" spans="1:4" x14ac:dyDescent="0.25">
      <c r="A64" t="s">
        <v>246</v>
      </c>
      <c r="B64">
        <v>97947</v>
      </c>
      <c r="C64" s="25" t="s">
        <v>1004</v>
      </c>
      <c r="D64" s="25" t="s">
        <v>1005</v>
      </c>
    </row>
    <row r="65" spans="1:4" x14ac:dyDescent="0.25">
      <c r="A65" t="s">
        <v>1006</v>
      </c>
      <c r="B65">
        <v>98653</v>
      </c>
      <c r="C65" s="25" t="s">
        <v>1007</v>
      </c>
      <c r="D65" s="25" t="s">
        <v>1008</v>
      </c>
    </row>
    <row r="66" spans="1:4" x14ac:dyDescent="0.25">
      <c r="A66" t="s">
        <v>1009</v>
      </c>
      <c r="B66">
        <v>788967</v>
      </c>
      <c r="C66" s="25" t="s">
        <v>1010</v>
      </c>
      <c r="D66" s="25" t="s">
        <v>1011</v>
      </c>
    </row>
    <row r="67" spans="1:4" x14ac:dyDescent="0.25">
      <c r="A67" t="s">
        <v>1012</v>
      </c>
      <c r="B67">
        <v>98909</v>
      </c>
      <c r="C67" s="25" t="s">
        <v>1013</v>
      </c>
      <c r="D67" s="25" t="s">
        <v>1014</v>
      </c>
    </row>
    <row r="68" spans="1:4" x14ac:dyDescent="0.25">
      <c r="A68" t="s">
        <v>1015</v>
      </c>
      <c r="B68">
        <v>134708</v>
      </c>
      <c r="C68" s="25" t="s">
        <v>1016</v>
      </c>
      <c r="D68" s="25" t="s">
        <v>1017</v>
      </c>
    </row>
    <row r="69" spans="1:4" x14ac:dyDescent="0.25">
      <c r="A69" t="s">
        <v>245</v>
      </c>
      <c r="B69">
        <v>98921</v>
      </c>
      <c r="C69" s="25" t="s">
        <v>1018</v>
      </c>
      <c r="D69" s="25" t="s">
        <v>1019</v>
      </c>
    </row>
    <row r="70" spans="1:4" x14ac:dyDescent="0.25">
      <c r="A70" t="s">
        <v>1020</v>
      </c>
      <c r="B70">
        <v>134718</v>
      </c>
      <c r="C70" s="25" t="s">
        <v>1021</v>
      </c>
      <c r="D70" s="25" t="s">
        <v>1022</v>
      </c>
    </row>
    <row r="71" spans="1:4" x14ac:dyDescent="0.25">
      <c r="A71" t="s">
        <v>256</v>
      </c>
      <c r="B71">
        <v>100787</v>
      </c>
      <c r="C71" s="25" t="s">
        <v>1023</v>
      </c>
    </row>
    <row r="72" spans="1:4" x14ac:dyDescent="0.25">
      <c r="A72" t="s">
        <v>249</v>
      </c>
      <c r="B72">
        <v>103514</v>
      </c>
      <c r="C72" s="25" t="s">
        <v>1024</v>
      </c>
      <c r="D72" s="25" t="s">
        <v>1025</v>
      </c>
    </row>
    <row r="73" spans="1:4" x14ac:dyDescent="0.25">
      <c r="A73" t="s">
        <v>1026</v>
      </c>
      <c r="B73">
        <v>104074</v>
      </c>
      <c r="C73" s="25" t="s">
        <v>1027</v>
      </c>
      <c r="D73" s="25" t="s">
        <v>1028</v>
      </c>
    </row>
    <row r="74" spans="1:4" x14ac:dyDescent="0.25">
      <c r="A74" t="s">
        <v>1029</v>
      </c>
      <c r="B74">
        <v>104076</v>
      </c>
      <c r="C74" s="25" t="s">
        <v>1030</v>
      </c>
      <c r="D74" s="25" t="s">
        <v>1031</v>
      </c>
    </row>
    <row r="75" spans="1:4" x14ac:dyDescent="0.25">
      <c r="A75" t="s">
        <v>471</v>
      </c>
      <c r="B75">
        <v>136969</v>
      </c>
      <c r="C75" s="25" t="s">
        <v>1032</v>
      </c>
      <c r="D75" s="25" t="s">
        <v>1033</v>
      </c>
    </row>
    <row r="76" spans="1:4" x14ac:dyDescent="0.25">
      <c r="A76" t="s">
        <v>1034</v>
      </c>
      <c r="B76">
        <v>136979</v>
      </c>
      <c r="C76" s="25" t="s">
        <v>1035</v>
      </c>
      <c r="D76" s="25" t="s">
        <v>1036</v>
      </c>
    </row>
    <row r="77" spans="1:4" x14ac:dyDescent="0.25">
      <c r="A77" t="s">
        <v>1037</v>
      </c>
      <c r="B77">
        <v>104419</v>
      </c>
      <c r="C77" s="25" t="s">
        <v>1038</v>
      </c>
      <c r="D77" s="25" t="s">
        <v>1039</v>
      </c>
    </row>
    <row r="78" spans="1:4" x14ac:dyDescent="0.25">
      <c r="A78" t="s">
        <v>1040</v>
      </c>
      <c r="B78">
        <v>104715</v>
      </c>
      <c r="C78" s="25" t="s">
        <v>1041</v>
      </c>
      <c r="D78" s="25" t="s">
        <v>1042</v>
      </c>
    </row>
    <row r="79" spans="1:4" x14ac:dyDescent="0.25">
      <c r="A79" t="s">
        <v>1043</v>
      </c>
      <c r="B79">
        <v>104716</v>
      </c>
      <c r="C79" s="25" t="s">
        <v>1044</v>
      </c>
      <c r="D79" s="25" t="s">
        <v>1045</v>
      </c>
    </row>
    <row r="80" spans="1:4" x14ac:dyDescent="0.25">
      <c r="A80" t="s">
        <v>1046</v>
      </c>
      <c r="B80">
        <v>137099</v>
      </c>
      <c r="C80" s="25" t="s">
        <v>1047</v>
      </c>
      <c r="D80" s="25" t="s">
        <v>1048</v>
      </c>
    </row>
    <row r="81" spans="1:4" x14ac:dyDescent="0.25">
      <c r="A81" t="s">
        <v>399</v>
      </c>
      <c r="B81">
        <v>105044</v>
      </c>
      <c r="C81" s="25" t="s">
        <v>1049</v>
      </c>
      <c r="D81" s="25" t="s">
        <v>1050</v>
      </c>
    </row>
    <row r="82" spans="1:4" x14ac:dyDescent="0.25">
      <c r="A82" t="s">
        <v>1051</v>
      </c>
      <c r="B82">
        <v>105050</v>
      </c>
      <c r="C82" s="25" t="s">
        <v>1052</v>
      </c>
      <c r="D82" s="25" t="s">
        <v>1053</v>
      </c>
    </row>
    <row r="83" spans="1:4" x14ac:dyDescent="0.25">
      <c r="A83" t="s">
        <v>1054</v>
      </c>
      <c r="B83">
        <v>105295</v>
      </c>
      <c r="C83" s="25" t="s">
        <v>1055</v>
      </c>
      <c r="D83" s="25" t="s">
        <v>1056</v>
      </c>
    </row>
    <row r="84" spans="1:4" x14ac:dyDescent="0.25">
      <c r="A84" t="s">
        <v>1057</v>
      </c>
      <c r="B84">
        <v>106361</v>
      </c>
      <c r="C84" s="25" t="s">
        <v>1058</v>
      </c>
      <c r="D84" s="25" t="s">
        <v>1059</v>
      </c>
    </row>
    <row r="85" spans="1:4" x14ac:dyDescent="0.25">
      <c r="A85" t="s">
        <v>1060</v>
      </c>
      <c r="B85">
        <v>106365</v>
      </c>
      <c r="C85" s="25" t="s">
        <v>1061</v>
      </c>
      <c r="D85" s="25" t="s">
        <v>1062</v>
      </c>
    </row>
    <row r="86" spans="1:4" x14ac:dyDescent="0.25">
      <c r="A86" t="s">
        <v>253</v>
      </c>
      <c r="B86">
        <v>106581</v>
      </c>
      <c r="C86" s="25" t="s">
        <v>1063</v>
      </c>
    </row>
    <row r="87" spans="1:4" x14ac:dyDescent="0.25">
      <c r="A87" t="s">
        <v>566</v>
      </c>
      <c r="B87">
        <v>106595</v>
      </c>
      <c r="C87" s="25" t="s">
        <v>1064</v>
      </c>
    </row>
    <row r="88" spans="1:4" x14ac:dyDescent="0.25">
      <c r="A88" t="s">
        <v>1065</v>
      </c>
      <c r="B88">
        <v>107130</v>
      </c>
      <c r="C88" s="25" t="s">
        <v>1066</v>
      </c>
      <c r="D88" s="25" t="s">
        <v>1067</v>
      </c>
    </row>
    <row r="89" spans="1:4" x14ac:dyDescent="0.25">
      <c r="A89" t="s">
        <v>321</v>
      </c>
      <c r="B89">
        <v>107217</v>
      </c>
      <c r="C89" s="25" t="s">
        <v>1068</v>
      </c>
      <c r="D89" s="25" t="s">
        <v>1069</v>
      </c>
    </row>
    <row r="90" spans="1:4" x14ac:dyDescent="0.25">
      <c r="A90" t="s">
        <v>1070</v>
      </c>
      <c r="B90">
        <v>108810</v>
      </c>
      <c r="C90" s="25" t="s">
        <v>1071</v>
      </c>
      <c r="D90" s="25" t="s">
        <v>1072</v>
      </c>
    </row>
    <row r="91" spans="1:4" x14ac:dyDescent="0.25">
      <c r="A91" t="s">
        <v>1073</v>
      </c>
      <c r="B91">
        <v>108822</v>
      </c>
      <c r="C91" s="25" t="s">
        <v>1074</v>
      </c>
      <c r="D91" s="25" t="s">
        <v>1075</v>
      </c>
    </row>
    <row r="92" spans="1:4" x14ac:dyDescent="0.25">
      <c r="A92" t="s">
        <v>1076</v>
      </c>
      <c r="B92">
        <v>154447</v>
      </c>
      <c r="C92" s="25" t="s">
        <v>1077</v>
      </c>
      <c r="D92" s="25" t="s">
        <v>1078</v>
      </c>
    </row>
    <row r="93" spans="1:4" x14ac:dyDescent="0.25">
      <c r="A93" t="s">
        <v>1079</v>
      </c>
      <c r="B93">
        <v>111837</v>
      </c>
      <c r="C93" s="25" t="s">
        <v>1080</v>
      </c>
      <c r="D93" s="25" t="s">
        <v>1081</v>
      </c>
    </row>
    <row r="94" spans="1:4" x14ac:dyDescent="0.25">
      <c r="A94" t="s">
        <v>1082</v>
      </c>
      <c r="B94">
        <v>112560</v>
      </c>
      <c r="C94" s="25" t="s">
        <v>1083</v>
      </c>
      <c r="D94" s="25" t="s">
        <v>1084</v>
      </c>
    </row>
    <row r="95" spans="1:4" x14ac:dyDescent="0.25">
      <c r="A95" t="s">
        <v>1085</v>
      </c>
      <c r="B95">
        <v>113142</v>
      </c>
      <c r="C95" s="25" t="s">
        <v>1086</v>
      </c>
      <c r="D95" s="25" t="s">
        <v>1087</v>
      </c>
    </row>
    <row r="96" spans="1:4" x14ac:dyDescent="0.25">
      <c r="A96" t="s">
        <v>1088</v>
      </c>
      <c r="B96">
        <v>113148</v>
      </c>
      <c r="C96" s="25" t="s">
        <v>1089</v>
      </c>
      <c r="D96" s="25" t="s">
        <v>1090</v>
      </c>
    </row>
    <row r="97" spans="1:4" x14ac:dyDescent="0.25">
      <c r="A97" t="s">
        <v>308</v>
      </c>
      <c r="B97">
        <v>138781</v>
      </c>
      <c r="C97" s="25" t="s">
        <v>1091</v>
      </c>
      <c r="D97" s="25" t="s">
        <v>1092</v>
      </c>
    </row>
    <row r="98" spans="1:4" x14ac:dyDescent="0.25">
      <c r="A98" t="s">
        <v>1093</v>
      </c>
      <c r="B98">
        <v>113439</v>
      </c>
      <c r="C98" s="25" t="s">
        <v>1094</v>
      </c>
      <c r="D98" s="25" t="s">
        <v>1095</v>
      </c>
    </row>
    <row r="99" spans="1:4" x14ac:dyDescent="0.25">
      <c r="A99" t="s">
        <v>1096</v>
      </c>
      <c r="B99">
        <v>113444</v>
      </c>
      <c r="C99" s="25" t="s">
        <v>1097</v>
      </c>
      <c r="D99" s="25" t="s">
        <v>1098</v>
      </c>
    </row>
    <row r="100" spans="1:4" x14ac:dyDescent="0.25">
      <c r="A100" t="s">
        <v>1099</v>
      </c>
      <c r="B100">
        <v>162292</v>
      </c>
      <c r="C100" s="25" t="s">
        <v>1100</v>
      </c>
      <c r="D100" s="25" t="s">
        <v>1101</v>
      </c>
    </row>
    <row r="101" spans="1:4" x14ac:dyDescent="0.25">
      <c r="A101" t="s">
        <v>1102</v>
      </c>
      <c r="B101">
        <v>113651</v>
      </c>
      <c r="C101" s="25" t="s">
        <v>1103</v>
      </c>
      <c r="D101" s="25" t="s">
        <v>1104</v>
      </c>
    </row>
    <row r="102" spans="1:4" x14ac:dyDescent="0.25">
      <c r="A102" t="s">
        <v>1105</v>
      </c>
      <c r="B102">
        <v>458773</v>
      </c>
      <c r="C102" s="25" t="s">
        <v>1106</v>
      </c>
      <c r="D102" s="25" t="s">
        <v>1107</v>
      </c>
    </row>
    <row r="103" spans="1:4" x14ac:dyDescent="0.25">
      <c r="A103" t="s">
        <v>1108</v>
      </c>
      <c r="B103">
        <v>113665</v>
      </c>
      <c r="C103" s="25" t="s">
        <v>1109</v>
      </c>
      <c r="D103" s="25" t="s">
        <v>1110</v>
      </c>
    </row>
    <row r="104" spans="1:4" x14ac:dyDescent="0.25">
      <c r="A104" t="s">
        <v>539</v>
      </c>
      <c r="B104">
        <v>113682</v>
      </c>
      <c r="C104" s="25" t="s">
        <v>1111</v>
      </c>
      <c r="D104" s="25" t="s">
        <v>1112</v>
      </c>
    </row>
    <row r="105" spans="1:4" x14ac:dyDescent="0.25">
      <c r="A105" t="s">
        <v>599</v>
      </c>
      <c r="B105">
        <v>138840</v>
      </c>
      <c r="C105" s="25" t="s">
        <v>1113</v>
      </c>
      <c r="D105" s="25" t="s">
        <v>1114</v>
      </c>
    </row>
    <row r="106" spans="1:4" x14ac:dyDescent="0.25">
      <c r="A106" t="s">
        <v>1115</v>
      </c>
      <c r="B106">
        <v>138843</v>
      </c>
      <c r="C106" s="25" t="s">
        <v>1116</v>
      </c>
      <c r="D106" s="25" t="s">
        <v>1117</v>
      </c>
    </row>
    <row r="107" spans="1:4" x14ac:dyDescent="0.25">
      <c r="A107" t="s">
        <v>1118</v>
      </c>
      <c r="B107">
        <v>138844</v>
      </c>
      <c r="C107" s="25" t="s">
        <v>1119</v>
      </c>
      <c r="D107" s="25" t="s">
        <v>1120</v>
      </c>
    </row>
    <row r="108" spans="1:4" x14ac:dyDescent="0.25">
      <c r="A108" t="s">
        <v>1121</v>
      </c>
      <c r="B108">
        <v>613561</v>
      </c>
      <c r="C108" s="25" t="s">
        <v>1122</v>
      </c>
      <c r="D108" s="25" t="s">
        <v>1123</v>
      </c>
    </row>
    <row r="109" spans="1:4" x14ac:dyDescent="0.25">
      <c r="A109" t="s">
        <v>473</v>
      </c>
      <c r="B109">
        <v>613563</v>
      </c>
      <c r="C109" s="25" t="s">
        <v>1124</v>
      </c>
      <c r="D109" s="25" t="s">
        <v>1125</v>
      </c>
    </row>
    <row r="110" spans="1:4" x14ac:dyDescent="0.25">
      <c r="A110" t="s">
        <v>1126</v>
      </c>
      <c r="B110">
        <v>138850</v>
      </c>
      <c r="C110" s="25" t="s">
        <v>1127</v>
      </c>
      <c r="D110" s="25" t="s">
        <v>1128</v>
      </c>
    </row>
    <row r="111" spans="1:4" x14ac:dyDescent="0.25">
      <c r="A111" t="s">
        <v>1129</v>
      </c>
      <c r="B111">
        <v>113690</v>
      </c>
      <c r="C111" s="25" t="s">
        <v>1130</v>
      </c>
      <c r="D111" s="25" t="s">
        <v>1131</v>
      </c>
    </row>
    <row r="112" spans="1:4" x14ac:dyDescent="0.25">
      <c r="A112" t="s">
        <v>1132</v>
      </c>
      <c r="B112">
        <v>113696</v>
      </c>
      <c r="C112" s="25" t="s">
        <v>1133</v>
      </c>
      <c r="D112" s="25" t="s">
        <v>1134</v>
      </c>
    </row>
    <row r="113" spans="1:4" x14ac:dyDescent="0.25">
      <c r="A113" t="s">
        <v>1135</v>
      </c>
      <c r="B113">
        <v>113702</v>
      </c>
      <c r="C113" s="25" t="s">
        <v>1136</v>
      </c>
      <c r="D113" s="25" t="s">
        <v>1137</v>
      </c>
    </row>
    <row r="114" spans="1:4" x14ac:dyDescent="0.25">
      <c r="A114" t="s">
        <v>383</v>
      </c>
      <c r="B114">
        <v>113703</v>
      </c>
      <c r="C114" s="25" t="s">
        <v>1138</v>
      </c>
      <c r="D114" s="25" t="s">
        <v>1139</v>
      </c>
    </row>
    <row r="115" spans="1:4" x14ac:dyDescent="0.25">
      <c r="A115" t="s">
        <v>1140</v>
      </c>
      <c r="B115">
        <v>446381</v>
      </c>
      <c r="C115" s="25" t="s">
        <v>1141</v>
      </c>
      <c r="D115" s="25" t="s">
        <v>1142</v>
      </c>
    </row>
    <row r="116" spans="1:4" x14ac:dyDescent="0.25">
      <c r="A116" t="s">
        <v>1143</v>
      </c>
      <c r="B116">
        <v>113744</v>
      </c>
      <c r="C116" s="25" t="s">
        <v>1144</v>
      </c>
      <c r="D116" s="25" t="s">
        <v>1145</v>
      </c>
    </row>
    <row r="117" spans="1:4" x14ac:dyDescent="0.25">
      <c r="A117" t="s">
        <v>1146</v>
      </c>
      <c r="B117">
        <v>113748</v>
      </c>
      <c r="C117" s="25" t="s">
        <v>1147</v>
      </c>
      <c r="D117" s="25" t="s">
        <v>1148</v>
      </c>
    </row>
    <row r="118" spans="1:4" x14ac:dyDescent="0.25">
      <c r="A118" t="s">
        <v>1149</v>
      </c>
      <c r="B118">
        <v>113750</v>
      </c>
      <c r="C118" s="25" t="s">
        <v>1150</v>
      </c>
      <c r="D118" s="25" t="s">
        <v>1151</v>
      </c>
    </row>
    <row r="119" spans="1:4" x14ac:dyDescent="0.25">
      <c r="A119" t="s">
        <v>1152</v>
      </c>
      <c r="B119">
        <v>717428</v>
      </c>
      <c r="C119" s="25" t="s">
        <v>1153</v>
      </c>
      <c r="D119" s="25" t="s">
        <v>1154</v>
      </c>
    </row>
    <row r="120" spans="1:4" x14ac:dyDescent="0.25">
      <c r="A120" t="s">
        <v>1155</v>
      </c>
      <c r="B120">
        <v>114028</v>
      </c>
      <c r="C120" s="25" t="s">
        <v>1156</v>
      </c>
      <c r="D120" s="25" t="s">
        <v>1157</v>
      </c>
    </row>
    <row r="121" spans="1:4" x14ac:dyDescent="0.25">
      <c r="A121" t="s">
        <v>1158</v>
      </c>
      <c r="B121">
        <v>114024</v>
      </c>
      <c r="C121" s="25" t="s">
        <v>1159</v>
      </c>
      <c r="D121" s="25" t="s">
        <v>1160</v>
      </c>
    </row>
    <row r="122" spans="1:4" x14ac:dyDescent="0.25">
      <c r="A122" t="s">
        <v>1161</v>
      </c>
      <c r="B122">
        <v>196579</v>
      </c>
      <c r="C122" s="25" t="s">
        <v>1162</v>
      </c>
      <c r="D122" s="25" t="s">
        <v>1163</v>
      </c>
    </row>
    <row r="123" spans="1:4" x14ac:dyDescent="0.25">
      <c r="A123" t="s">
        <v>1164</v>
      </c>
      <c r="B123">
        <v>115110</v>
      </c>
      <c r="C123" s="25" t="s">
        <v>1165</v>
      </c>
      <c r="D123" s="25" t="s">
        <v>1166</v>
      </c>
    </row>
    <row r="124" spans="1:4" x14ac:dyDescent="0.25">
      <c r="A124" t="s">
        <v>1167</v>
      </c>
      <c r="B124">
        <v>139169</v>
      </c>
      <c r="C124" s="25" t="s">
        <v>1168</v>
      </c>
      <c r="D124" s="25" t="s">
        <v>1169</v>
      </c>
    </row>
    <row r="125" spans="1:4" x14ac:dyDescent="0.25">
      <c r="A125" t="s">
        <v>743</v>
      </c>
      <c r="B125">
        <v>115156</v>
      </c>
      <c r="C125" s="25" t="s">
        <v>1170</v>
      </c>
      <c r="D125" s="25" t="s">
        <v>1171</v>
      </c>
    </row>
    <row r="126" spans="1:4" x14ac:dyDescent="0.25">
      <c r="A126" t="s">
        <v>1172</v>
      </c>
      <c r="B126">
        <v>115168</v>
      </c>
      <c r="C126" s="25" t="s">
        <v>1173</v>
      </c>
      <c r="D126" s="25" t="s">
        <v>1174</v>
      </c>
    </row>
    <row r="127" spans="1:4" x14ac:dyDescent="0.25">
      <c r="A127" t="s">
        <v>1175</v>
      </c>
      <c r="B127">
        <v>116041</v>
      </c>
      <c r="C127" s="25" t="s">
        <v>1176</v>
      </c>
      <c r="D127" s="25" t="s">
        <v>1177</v>
      </c>
    </row>
    <row r="128" spans="1:4" x14ac:dyDescent="0.25">
      <c r="A128" t="s">
        <v>325</v>
      </c>
      <c r="B128">
        <v>116043</v>
      </c>
      <c r="C128" s="25" t="s">
        <v>1178</v>
      </c>
      <c r="D128" s="25" t="s">
        <v>1179</v>
      </c>
    </row>
    <row r="129" spans="1:4" x14ac:dyDescent="0.25">
      <c r="A129" t="s">
        <v>1180</v>
      </c>
      <c r="B129">
        <v>116050</v>
      </c>
      <c r="C129" s="25" t="s">
        <v>1181</v>
      </c>
      <c r="D129" s="25" t="s">
        <v>1182</v>
      </c>
    </row>
    <row r="130" spans="1:4" x14ac:dyDescent="0.25">
      <c r="A130" t="s">
        <v>1183</v>
      </c>
      <c r="B130">
        <v>116053</v>
      </c>
      <c r="C130" s="25" t="s">
        <v>1184</v>
      </c>
      <c r="D130" s="25" t="s">
        <v>1185</v>
      </c>
    </row>
    <row r="131" spans="1:4" x14ac:dyDescent="0.25">
      <c r="A131" t="s">
        <v>1186</v>
      </c>
      <c r="B131">
        <v>116054</v>
      </c>
      <c r="C131" s="25" t="s">
        <v>1187</v>
      </c>
      <c r="D131" s="25" t="s">
        <v>1188</v>
      </c>
    </row>
    <row r="132" spans="1:4" x14ac:dyDescent="0.25">
      <c r="A132" t="s">
        <v>1189</v>
      </c>
      <c r="B132">
        <v>116067</v>
      </c>
      <c r="C132" s="25" t="s">
        <v>1190</v>
      </c>
      <c r="D132" s="25" t="s">
        <v>1191</v>
      </c>
    </row>
    <row r="133" spans="1:4" x14ac:dyDescent="0.25">
      <c r="A133" t="s">
        <v>1192</v>
      </c>
      <c r="B133">
        <v>116068</v>
      </c>
      <c r="C133" s="25" t="s">
        <v>1193</v>
      </c>
      <c r="D133" s="25" t="s">
        <v>1194</v>
      </c>
    </row>
    <row r="134" spans="1:4" x14ac:dyDescent="0.25">
      <c r="A134" t="s">
        <v>1195</v>
      </c>
      <c r="B134">
        <v>116089</v>
      </c>
      <c r="C134" s="25" t="s">
        <v>1196</v>
      </c>
    </row>
    <row r="135" spans="1:4" x14ac:dyDescent="0.25">
      <c r="A135" t="s">
        <v>1197</v>
      </c>
      <c r="B135">
        <v>116096</v>
      </c>
      <c r="C135" s="25" t="s">
        <v>1198</v>
      </c>
      <c r="D135" s="25" t="s">
        <v>1199</v>
      </c>
    </row>
    <row r="136" spans="1:4" x14ac:dyDescent="0.25">
      <c r="A136" t="s">
        <v>1200</v>
      </c>
      <c r="B136">
        <v>139444</v>
      </c>
      <c r="C136" s="25" t="s">
        <v>1201</v>
      </c>
      <c r="D136" s="25" t="s">
        <v>1202</v>
      </c>
    </row>
    <row r="137" spans="1:4" x14ac:dyDescent="0.25">
      <c r="A137" t="s">
        <v>1203</v>
      </c>
      <c r="B137">
        <v>116137</v>
      </c>
      <c r="C137" s="25" t="s">
        <v>1204</v>
      </c>
      <c r="D137" s="25" t="s">
        <v>1205</v>
      </c>
    </row>
    <row r="138" spans="1:4" x14ac:dyDescent="0.25">
      <c r="A138" t="s">
        <v>322</v>
      </c>
      <c r="B138">
        <v>116142</v>
      </c>
      <c r="C138" s="25" t="s">
        <v>1206</v>
      </c>
      <c r="D138" s="25" t="s">
        <v>1207</v>
      </c>
    </row>
    <row r="139" spans="1:4" x14ac:dyDescent="0.25">
      <c r="A139" t="s">
        <v>475</v>
      </c>
      <c r="B139">
        <v>116216</v>
      </c>
      <c r="C139" s="25" t="s">
        <v>1208</v>
      </c>
      <c r="D139" s="25" t="s">
        <v>1209</v>
      </c>
    </row>
    <row r="140" spans="1:4" x14ac:dyDescent="0.25">
      <c r="A140" t="s">
        <v>1210</v>
      </c>
      <c r="B140">
        <v>139545</v>
      </c>
      <c r="C140" s="25" t="s">
        <v>1211</v>
      </c>
      <c r="D140" s="25" t="s">
        <v>1212</v>
      </c>
    </row>
    <row r="141" spans="1:4" x14ac:dyDescent="0.25">
      <c r="A141" t="s">
        <v>1213</v>
      </c>
      <c r="B141">
        <v>116576</v>
      </c>
      <c r="C141" s="25" t="s">
        <v>1214</v>
      </c>
      <c r="D141" s="25" t="s">
        <v>1215</v>
      </c>
    </row>
    <row r="142" spans="1:4" x14ac:dyDescent="0.25">
      <c r="A142" t="s">
        <v>1216</v>
      </c>
      <c r="B142">
        <v>116594</v>
      </c>
      <c r="C142" s="25" t="s">
        <v>1217</v>
      </c>
      <c r="D142" s="25" t="s">
        <v>1218</v>
      </c>
    </row>
    <row r="143" spans="1:4" x14ac:dyDescent="0.25">
      <c r="A143" t="s">
        <v>1219</v>
      </c>
      <c r="B143">
        <v>116610</v>
      </c>
      <c r="C143" s="25" t="s">
        <v>1220</v>
      </c>
      <c r="D143" s="25" t="s">
        <v>1221</v>
      </c>
    </row>
    <row r="144" spans="1:4" x14ac:dyDescent="0.25">
      <c r="A144" t="s">
        <v>1222</v>
      </c>
      <c r="B144">
        <v>116670</v>
      </c>
      <c r="C144" s="25" t="s">
        <v>1223</v>
      </c>
      <c r="D144" s="25" t="s">
        <v>1224</v>
      </c>
    </row>
    <row r="145" spans="1:4" x14ac:dyDescent="0.25">
      <c r="A145" t="s">
        <v>1225</v>
      </c>
      <c r="B145">
        <v>159897</v>
      </c>
      <c r="C145" s="25" t="s">
        <v>1226</v>
      </c>
      <c r="D145" s="25" t="s">
        <v>1227</v>
      </c>
    </row>
    <row r="146" spans="1:4" x14ac:dyDescent="0.25">
      <c r="A146" t="s">
        <v>1228</v>
      </c>
      <c r="B146">
        <v>116677</v>
      </c>
      <c r="C146" s="25" t="s">
        <v>1229</v>
      </c>
      <c r="D146" s="25" t="s">
        <v>1230</v>
      </c>
    </row>
    <row r="147" spans="1:4" x14ac:dyDescent="0.25">
      <c r="A147" t="s">
        <v>1231</v>
      </c>
      <c r="B147">
        <v>116704</v>
      </c>
      <c r="C147" s="25" t="s">
        <v>1232</v>
      </c>
      <c r="D147" s="25" t="s">
        <v>1233</v>
      </c>
    </row>
    <row r="148" spans="1:4" x14ac:dyDescent="0.25">
      <c r="A148" t="s">
        <v>1234</v>
      </c>
      <c r="B148">
        <v>116740</v>
      </c>
      <c r="C148" s="25" t="s">
        <v>1235</v>
      </c>
      <c r="D148" s="25" t="s">
        <v>1236</v>
      </c>
    </row>
    <row r="149" spans="1:4" x14ac:dyDescent="0.25">
      <c r="A149" t="s">
        <v>1237</v>
      </c>
      <c r="B149">
        <v>139584</v>
      </c>
      <c r="C149" s="25" t="s">
        <v>1238</v>
      </c>
      <c r="D149" s="25" t="s">
        <v>1239</v>
      </c>
    </row>
    <row r="150" spans="1:4" x14ac:dyDescent="0.25">
      <c r="A150" t="s">
        <v>316</v>
      </c>
      <c r="B150">
        <v>116751</v>
      </c>
      <c r="C150" s="25" t="s">
        <v>1240</v>
      </c>
      <c r="D150" s="25" t="s">
        <v>1241</v>
      </c>
    </row>
    <row r="151" spans="1:4" x14ac:dyDescent="0.25">
      <c r="A151" t="s">
        <v>1242</v>
      </c>
      <c r="B151">
        <v>116754</v>
      </c>
      <c r="C151" s="25" t="s">
        <v>1243</v>
      </c>
      <c r="D151" s="25" t="s">
        <v>1244</v>
      </c>
    </row>
    <row r="152" spans="1:4" x14ac:dyDescent="0.25">
      <c r="A152" t="s">
        <v>1245</v>
      </c>
      <c r="B152">
        <v>139596</v>
      </c>
      <c r="C152" s="25" t="s">
        <v>1246</v>
      </c>
      <c r="D152" s="25" t="s">
        <v>1247</v>
      </c>
    </row>
    <row r="153" spans="1:4" x14ac:dyDescent="0.25">
      <c r="A153" t="s">
        <v>1248</v>
      </c>
      <c r="B153">
        <v>116762</v>
      </c>
      <c r="C153" s="25" t="s">
        <v>1249</v>
      </c>
      <c r="D153" s="25" t="s">
        <v>1250</v>
      </c>
    </row>
    <row r="154" spans="1:4" x14ac:dyDescent="0.25">
      <c r="A154" t="s">
        <v>1251</v>
      </c>
      <c r="B154">
        <v>116774</v>
      </c>
      <c r="C154" s="25" t="s">
        <v>1252</v>
      </c>
      <c r="D154" s="25" t="s">
        <v>1253</v>
      </c>
    </row>
    <row r="155" spans="1:4" x14ac:dyDescent="0.25">
      <c r="A155" t="s">
        <v>1254</v>
      </c>
      <c r="B155">
        <v>117526</v>
      </c>
      <c r="C155" s="25" t="s">
        <v>1255</v>
      </c>
      <c r="D155" s="25" t="s">
        <v>1256</v>
      </c>
    </row>
    <row r="156" spans="1:4" x14ac:dyDescent="0.25">
      <c r="A156" t="s">
        <v>1257</v>
      </c>
      <c r="B156">
        <v>117528</v>
      </c>
      <c r="C156" s="25" t="s">
        <v>1258</v>
      </c>
      <c r="D156" s="25" t="s">
        <v>1259</v>
      </c>
    </row>
    <row r="157" spans="1:4" x14ac:dyDescent="0.25">
      <c r="A157" t="s">
        <v>578</v>
      </c>
      <c r="B157">
        <v>117530</v>
      </c>
      <c r="C157" s="25" t="s">
        <v>1260</v>
      </c>
      <c r="D157" s="25" t="s">
        <v>1261</v>
      </c>
    </row>
    <row r="158" spans="1:4" x14ac:dyDescent="0.25">
      <c r="A158" t="s">
        <v>1262</v>
      </c>
      <c r="B158">
        <v>117723</v>
      </c>
      <c r="C158" s="25" t="s">
        <v>1263</v>
      </c>
      <c r="D158" s="25" t="s">
        <v>1264</v>
      </c>
    </row>
    <row r="159" spans="1:4" x14ac:dyDescent="0.25">
      <c r="A159" t="s">
        <v>1265</v>
      </c>
      <c r="B159">
        <v>160246</v>
      </c>
      <c r="C159" s="25" t="s">
        <v>1266</v>
      </c>
      <c r="D159" s="25" t="s">
        <v>1267</v>
      </c>
    </row>
    <row r="160" spans="1:4" x14ac:dyDescent="0.25">
      <c r="A160" t="s">
        <v>248</v>
      </c>
      <c r="B160">
        <v>117748</v>
      </c>
      <c r="C160" s="25" t="s">
        <v>1268</v>
      </c>
    </row>
    <row r="161" spans="1:4" x14ac:dyDescent="0.25">
      <c r="A161" t="s">
        <v>1269</v>
      </c>
      <c r="B161">
        <v>117860</v>
      </c>
      <c r="C161" s="25" t="s">
        <v>1270</v>
      </c>
      <c r="D161" s="25" t="s">
        <v>1271</v>
      </c>
    </row>
    <row r="162" spans="1:4" x14ac:dyDescent="0.25">
      <c r="A162" t="s">
        <v>1272</v>
      </c>
      <c r="B162">
        <v>118016</v>
      </c>
      <c r="C162" s="25" t="s">
        <v>1273</v>
      </c>
    </row>
    <row r="163" spans="1:4" x14ac:dyDescent="0.25">
      <c r="A163" t="s">
        <v>1274</v>
      </c>
      <c r="B163">
        <v>118073</v>
      </c>
      <c r="C163" s="25" t="s">
        <v>1275</v>
      </c>
    </row>
    <row r="164" spans="1:4" x14ac:dyDescent="0.25">
      <c r="A164" t="s">
        <v>319</v>
      </c>
      <c r="B164">
        <v>197264</v>
      </c>
    </row>
    <row r="165" spans="1:4" x14ac:dyDescent="0.25">
      <c r="A165" t="s">
        <v>252</v>
      </c>
      <c r="B165">
        <v>118993</v>
      </c>
      <c r="C165" s="25" t="s">
        <v>1276</v>
      </c>
    </row>
    <row r="166" spans="1:4" x14ac:dyDescent="0.25">
      <c r="A166" t="s">
        <v>269</v>
      </c>
      <c r="B166">
        <v>119149</v>
      </c>
      <c r="C166" s="25" t="s">
        <v>1277</v>
      </c>
    </row>
    <row r="167" spans="1:4" x14ac:dyDescent="0.25">
      <c r="A167" t="s">
        <v>1278</v>
      </c>
      <c r="B167">
        <v>119915</v>
      </c>
      <c r="C167" s="25" t="s">
        <v>1279</v>
      </c>
      <c r="D167" s="25" t="s">
        <v>1280</v>
      </c>
    </row>
    <row r="168" spans="1:4" x14ac:dyDescent="0.25">
      <c r="A168" t="s">
        <v>1281</v>
      </c>
      <c r="B168">
        <v>119948</v>
      </c>
      <c r="C168" s="25" t="s">
        <v>1282</v>
      </c>
      <c r="D168" s="25" t="s">
        <v>1283</v>
      </c>
    </row>
    <row r="169" spans="1:4" x14ac:dyDescent="0.25">
      <c r="A169" t="s">
        <v>1284</v>
      </c>
      <c r="B169">
        <v>119977</v>
      </c>
      <c r="C169" s="25" t="s">
        <v>1285</v>
      </c>
      <c r="D169" s="25" t="s">
        <v>1286</v>
      </c>
    </row>
    <row r="170" spans="1:4" x14ac:dyDescent="0.25">
      <c r="A170" t="s">
        <v>1287</v>
      </c>
      <c r="B170">
        <v>119991</v>
      </c>
      <c r="C170" s="25" t="s">
        <v>1288</v>
      </c>
      <c r="D170" s="25" t="s">
        <v>1289</v>
      </c>
    </row>
    <row r="171" spans="1:4" x14ac:dyDescent="0.25">
      <c r="A171" t="s">
        <v>1290</v>
      </c>
      <c r="B171">
        <v>120009</v>
      </c>
      <c r="C171" s="25" t="s">
        <v>1291</v>
      </c>
      <c r="D171" s="25" t="s">
        <v>1292</v>
      </c>
    </row>
    <row r="172" spans="1:4" x14ac:dyDescent="0.25">
      <c r="A172" t="s">
        <v>1293</v>
      </c>
      <c r="B172">
        <v>140449</v>
      </c>
      <c r="C172" s="25" t="s">
        <v>1294</v>
      </c>
      <c r="D172" s="25" t="s">
        <v>1295</v>
      </c>
    </row>
    <row r="173" spans="1:4" x14ac:dyDescent="0.25">
      <c r="A173" t="s">
        <v>1296</v>
      </c>
      <c r="B173">
        <v>120040</v>
      </c>
      <c r="C173" s="25" t="s">
        <v>1297</v>
      </c>
      <c r="D173" s="25" t="s">
        <v>1298</v>
      </c>
    </row>
    <row r="174" spans="1:4" x14ac:dyDescent="0.25">
      <c r="A174" t="s">
        <v>1299</v>
      </c>
      <c r="B174">
        <v>120161</v>
      </c>
      <c r="C174" s="25" t="s">
        <v>1300</v>
      </c>
      <c r="D174" s="25" t="s">
        <v>1301</v>
      </c>
    </row>
    <row r="175" spans="1:4" x14ac:dyDescent="0.25">
      <c r="A175" t="s">
        <v>1302</v>
      </c>
      <c r="B175">
        <v>120163</v>
      </c>
      <c r="C175" s="25" t="s">
        <v>1303</v>
      </c>
      <c r="D175" s="25" t="s">
        <v>1304</v>
      </c>
    </row>
    <row r="176" spans="1:4" x14ac:dyDescent="0.25">
      <c r="A176" t="s">
        <v>1305</v>
      </c>
      <c r="B176">
        <v>120246</v>
      </c>
      <c r="C176" s="25" t="s">
        <v>1306</v>
      </c>
      <c r="D176" s="25" t="s">
        <v>1307</v>
      </c>
    </row>
    <row r="177" spans="1:4" x14ac:dyDescent="0.25">
      <c r="A177" t="s">
        <v>1308</v>
      </c>
      <c r="B177">
        <v>120260</v>
      </c>
      <c r="C177" s="25" t="s">
        <v>1309</v>
      </c>
      <c r="D177" s="25" t="s">
        <v>1310</v>
      </c>
    </row>
    <row r="178" spans="1:4" x14ac:dyDescent="0.25">
      <c r="A178" t="s">
        <v>1311</v>
      </c>
      <c r="B178">
        <v>120512</v>
      </c>
      <c r="C178" s="25" t="s">
        <v>1312</v>
      </c>
      <c r="D178" s="25" t="s">
        <v>1313</v>
      </c>
    </row>
    <row r="179" spans="1:4" x14ac:dyDescent="0.25">
      <c r="A179" t="s">
        <v>530</v>
      </c>
      <c r="B179">
        <v>120717</v>
      </c>
      <c r="C179" s="25" t="s">
        <v>1314</v>
      </c>
      <c r="D179" s="25" t="s">
        <v>1315</v>
      </c>
    </row>
    <row r="180" spans="1:4" x14ac:dyDescent="0.25">
      <c r="A180" t="s">
        <v>1316</v>
      </c>
      <c r="B180">
        <v>140539</v>
      </c>
      <c r="C180" s="25" t="s">
        <v>1317</v>
      </c>
      <c r="D180" s="25" t="s">
        <v>1318</v>
      </c>
    </row>
    <row r="181" spans="1:4" x14ac:dyDescent="0.25">
      <c r="A181" t="s">
        <v>1319</v>
      </c>
      <c r="B181">
        <v>122785</v>
      </c>
      <c r="C181" s="25" t="s">
        <v>1320</v>
      </c>
      <c r="D181" s="25" t="s">
        <v>1321</v>
      </c>
    </row>
    <row r="182" spans="1:4" x14ac:dyDescent="0.25">
      <c r="A182" t="s">
        <v>1322</v>
      </c>
      <c r="B182">
        <v>122788</v>
      </c>
      <c r="C182" s="25" t="s">
        <v>1323</v>
      </c>
      <c r="D182" s="25" t="s">
        <v>1324</v>
      </c>
    </row>
    <row r="183" spans="1:4" x14ac:dyDescent="0.25">
      <c r="A183" t="s">
        <v>334</v>
      </c>
      <c r="B183">
        <v>124306</v>
      </c>
      <c r="C183" s="25" t="s">
        <v>1325</v>
      </c>
      <c r="D183" s="25" t="s">
        <v>1326</v>
      </c>
    </row>
    <row r="184" spans="1:4" x14ac:dyDescent="0.25">
      <c r="A184" t="s">
        <v>1327</v>
      </c>
      <c r="B184">
        <v>141317</v>
      </c>
      <c r="C184" s="25" t="s">
        <v>1328</v>
      </c>
      <c r="D184" s="25" t="s">
        <v>1329</v>
      </c>
    </row>
    <row r="185" spans="1:4" x14ac:dyDescent="0.25">
      <c r="A185" t="s">
        <v>1330</v>
      </c>
      <c r="B185">
        <v>124319</v>
      </c>
      <c r="C185" s="25" t="s">
        <v>1331</v>
      </c>
      <c r="D185" s="25" t="s">
        <v>1332</v>
      </c>
    </row>
    <row r="186" spans="1:4" x14ac:dyDescent="0.25">
      <c r="A186" t="s">
        <v>1333</v>
      </c>
      <c r="B186">
        <v>124362</v>
      </c>
      <c r="C186" s="25" t="s">
        <v>1334</v>
      </c>
      <c r="D186" s="25" t="s">
        <v>1335</v>
      </c>
    </row>
    <row r="187" spans="1:4" x14ac:dyDescent="0.25">
      <c r="A187" t="s">
        <v>1336</v>
      </c>
      <c r="B187">
        <v>124325</v>
      </c>
      <c r="C187" s="25" t="s">
        <v>1337</v>
      </c>
      <c r="D187" s="25" t="s">
        <v>1338</v>
      </c>
    </row>
    <row r="188" spans="1:4" x14ac:dyDescent="0.25">
      <c r="A188" t="s">
        <v>1339</v>
      </c>
      <c r="B188">
        <v>611482</v>
      </c>
      <c r="C188" s="25" t="s">
        <v>1340</v>
      </c>
      <c r="D188" s="25" t="s">
        <v>1341</v>
      </c>
    </row>
    <row r="189" spans="1:4" x14ac:dyDescent="0.25">
      <c r="A189" t="s">
        <v>1342</v>
      </c>
      <c r="B189">
        <v>124329</v>
      </c>
      <c r="C189" s="25" t="s">
        <v>1343</v>
      </c>
      <c r="D189" s="25" t="s">
        <v>1344</v>
      </c>
    </row>
    <row r="190" spans="1:4" x14ac:dyDescent="0.25">
      <c r="A190" t="s">
        <v>349</v>
      </c>
      <c r="B190">
        <v>124346</v>
      </c>
      <c r="C190" s="25" t="s">
        <v>1345</v>
      </c>
      <c r="D190" s="25">
        <v>41</v>
      </c>
    </row>
    <row r="191" spans="1:4" x14ac:dyDescent="0.25">
      <c r="A191" t="s">
        <v>1346</v>
      </c>
      <c r="B191">
        <v>125412</v>
      </c>
      <c r="C191" s="25" t="s">
        <v>1347</v>
      </c>
      <c r="D191" s="25" t="s">
        <v>1348</v>
      </c>
    </row>
    <row r="192" spans="1:4" x14ac:dyDescent="0.25">
      <c r="A192" t="s">
        <v>1349</v>
      </c>
      <c r="B192">
        <v>125426</v>
      </c>
      <c r="C192" s="25" t="s">
        <v>1350</v>
      </c>
      <c r="D192" s="25" t="s">
        <v>1351</v>
      </c>
    </row>
    <row r="193" spans="1:4" x14ac:dyDescent="0.25">
      <c r="A193" t="s">
        <v>1349</v>
      </c>
      <c r="B193">
        <v>125426</v>
      </c>
      <c r="C193" s="25" t="s">
        <v>1350</v>
      </c>
      <c r="D193" s="25" t="s">
        <v>1352</v>
      </c>
    </row>
    <row r="194" spans="1:4" x14ac:dyDescent="0.25">
      <c r="A194" t="s">
        <v>1353</v>
      </c>
      <c r="B194">
        <v>125811</v>
      </c>
      <c r="C194" s="25" t="s">
        <v>1354</v>
      </c>
      <c r="D194" s="25" t="s">
        <v>1355</v>
      </c>
    </row>
    <row r="195" spans="1:4" x14ac:dyDescent="0.25">
      <c r="A195" t="s">
        <v>1356</v>
      </c>
      <c r="B195">
        <v>125816</v>
      </c>
      <c r="C195" s="25" t="s">
        <v>1357</v>
      </c>
      <c r="D195" s="25" t="s">
        <v>1358</v>
      </c>
    </row>
    <row r="196" spans="1:4" x14ac:dyDescent="0.25">
      <c r="A196" t="s">
        <v>1359</v>
      </c>
      <c r="B196">
        <v>126449</v>
      </c>
      <c r="C196" s="25" t="s">
        <v>1360</v>
      </c>
      <c r="D196" s="25" t="s">
        <v>1361</v>
      </c>
    </row>
    <row r="197" spans="1:4" x14ac:dyDescent="0.25">
      <c r="A197" t="s">
        <v>1362</v>
      </c>
      <c r="B197">
        <v>126451</v>
      </c>
      <c r="C197" s="25" t="s">
        <v>1363</v>
      </c>
      <c r="D197" s="25" t="s">
        <v>1364</v>
      </c>
    </row>
    <row r="198" spans="1:4" x14ac:dyDescent="0.25">
      <c r="A198" t="s">
        <v>1365</v>
      </c>
      <c r="B198">
        <v>160932</v>
      </c>
      <c r="C198" s="25" t="s">
        <v>1366</v>
      </c>
      <c r="D198" s="25" t="s">
        <v>1367</v>
      </c>
    </row>
    <row r="199" spans="1:4" x14ac:dyDescent="0.25">
      <c r="A199" t="s">
        <v>1368</v>
      </c>
      <c r="B199">
        <v>126628</v>
      </c>
      <c r="C199" s="25" t="s">
        <v>1369</v>
      </c>
      <c r="D199" s="25" t="s">
        <v>1370</v>
      </c>
    </row>
    <row r="200" spans="1:4" x14ac:dyDescent="0.25">
      <c r="A200" t="s">
        <v>1371</v>
      </c>
      <c r="B200">
        <v>141768</v>
      </c>
      <c r="C200" s="25" t="s">
        <v>1372</v>
      </c>
      <c r="D200" s="25" t="s">
        <v>1373</v>
      </c>
    </row>
    <row r="201" spans="1:4" x14ac:dyDescent="0.25">
      <c r="A201" t="s">
        <v>1374</v>
      </c>
      <c r="B201">
        <v>126662</v>
      </c>
      <c r="C201" s="25" t="s">
        <v>1375</v>
      </c>
      <c r="D201" s="25" t="s">
        <v>1376</v>
      </c>
    </row>
    <row r="202" spans="1:4" x14ac:dyDescent="0.25">
      <c r="A202" t="s">
        <v>1377</v>
      </c>
      <c r="B202">
        <v>126667</v>
      </c>
      <c r="C202" s="25" t="s">
        <v>1378</v>
      </c>
      <c r="D202" s="25" t="s">
        <v>1379</v>
      </c>
    </row>
    <row r="203" spans="1:4" x14ac:dyDescent="0.25">
      <c r="A203" t="s">
        <v>1380</v>
      </c>
      <c r="B203">
        <v>161014</v>
      </c>
      <c r="C203" s="25" t="s">
        <v>1381</v>
      </c>
      <c r="D203" s="25" t="s">
        <v>1382</v>
      </c>
    </row>
    <row r="204" spans="1:4" x14ac:dyDescent="0.25">
      <c r="A204" t="s">
        <v>1383</v>
      </c>
      <c r="B204">
        <v>159899</v>
      </c>
      <c r="C204" s="25" t="s">
        <v>1384</v>
      </c>
      <c r="D204" s="25" t="s">
        <v>1385</v>
      </c>
    </row>
    <row r="205" spans="1:4" x14ac:dyDescent="0.25">
      <c r="A205" t="s">
        <v>1386</v>
      </c>
      <c r="B205">
        <v>127896</v>
      </c>
      <c r="C205" s="25" t="s">
        <v>1386</v>
      </c>
      <c r="D205" s="25" t="s">
        <v>1387</v>
      </c>
    </row>
    <row r="206" spans="1:4" x14ac:dyDescent="0.25">
      <c r="A206" t="s">
        <v>1388</v>
      </c>
      <c r="B206">
        <v>142029</v>
      </c>
      <c r="C206" s="25" t="s">
        <v>1389</v>
      </c>
      <c r="D206" s="25" t="s">
        <v>1390</v>
      </c>
    </row>
    <row r="207" spans="1:4" x14ac:dyDescent="0.25">
      <c r="A207" t="s">
        <v>1391</v>
      </c>
      <c r="B207">
        <v>128171</v>
      </c>
      <c r="C207" s="25" t="s">
        <v>1392</v>
      </c>
      <c r="D207" s="25" t="s">
        <v>1393</v>
      </c>
    </row>
    <row r="208" spans="1:4" x14ac:dyDescent="0.25">
      <c r="A208" t="s">
        <v>1394</v>
      </c>
      <c r="B208">
        <v>128175</v>
      </c>
      <c r="C208" s="25" t="s">
        <v>1395</v>
      </c>
      <c r="D208" s="25" t="s">
        <v>1396</v>
      </c>
    </row>
    <row r="209" spans="1:4" x14ac:dyDescent="0.25">
      <c r="A209" t="s">
        <v>1397</v>
      </c>
      <c r="B209">
        <v>128357</v>
      </c>
      <c r="C209" s="25" t="s">
        <v>1398</v>
      </c>
      <c r="D209" s="25" t="s">
        <v>1399</v>
      </c>
    </row>
    <row r="210" spans="1:4" x14ac:dyDescent="0.25">
      <c r="A210" t="s">
        <v>274</v>
      </c>
      <c r="B210">
        <v>128345</v>
      </c>
      <c r="C210" s="25" t="s">
        <v>1400</v>
      </c>
    </row>
  </sheetData>
  <dataValidations count="1">
    <dataValidation type="list" allowBlank="1" showInputMessage="1" showErrorMessage="1" sqref="A56" xr:uid="{00000000-0002-0000-0500-000000000000}">
      <formula1>$A$2:$A$210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"/>
  <sheetViews>
    <sheetView zoomScaleNormal="100" workbookViewId="0">
      <selection activeCell="F14" sqref="F14"/>
    </sheetView>
  </sheetViews>
  <sheetFormatPr defaultColWidth="10.7109375" defaultRowHeight="15" x14ac:dyDescent="0.25"/>
  <cols>
    <col min="1" max="1" width="17.85546875" customWidth="1"/>
    <col min="2" max="2" width="20.5703125" customWidth="1"/>
    <col min="5" max="5" width="25.140625" customWidth="1"/>
    <col min="8" max="8" width="99.42578125" customWidth="1"/>
  </cols>
  <sheetData>
    <row r="1" spans="1:8" x14ac:dyDescent="0.25">
      <c r="A1" s="1" t="s">
        <v>1401</v>
      </c>
      <c r="B1" s="1" t="s">
        <v>1402</v>
      </c>
      <c r="D1" s="1" t="s">
        <v>1401</v>
      </c>
      <c r="E1" s="1" t="s">
        <v>1403</v>
      </c>
      <c r="G1" s="1" t="s">
        <v>1401</v>
      </c>
      <c r="H1" s="1" t="s">
        <v>1404</v>
      </c>
    </row>
    <row r="2" spans="1:8" x14ac:dyDescent="0.25">
      <c r="A2" s="13" t="s">
        <v>109</v>
      </c>
      <c r="B2" s="13" t="s">
        <v>1405</v>
      </c>
      <c r="D2" s="13" t="s">
        <v>106</v>
      </c>
      <c r="E2" s="13" t="s">
        <v>1004</v>
      </c>
      <c r="G2" s="13" t="s">
        <v>106</v>
      </c>
      <c r="H2" s="13" t="s">
        <v>1406</v>
      </c>
    </row>
    <row r="3" spans="1:8" x14ac:dyDescent="0.25">
      <c r="A3" s="13" t="s">
        <v>118</v>
      </c>
      <c r="B3" s="13" t="s">
        <v>1407</v>
      </c>
      <c r="D3" s="13" t="s">
        <v>116</v>
      </c>
      <c r="E3" s="13" t="s">
        <v>1408</v>
      </c>
      <c r="G3" s="13" t="s">
        <v>111</v>
      </c>
      <c r="H3" s="13" t="s">
        <v>1409</v>
      </c>
    </row>
    <row r="4" spans="1:8" x14ac:dyDescent="0.25">
      <c r="A4" s="13" t="s">
        <v>115</v>
      </c>
      <c r="B4" s="13" t="s">
        <v>1410</v>
      </c>
      <c r="D4" s="13" t="s">
        <v>119</v>
      </c>
      <c r="E4" s="13" t="s">
        <v>916</v>
      </c>
      <c r="G4" s="13" t="s">
        <v>139</v>
      </c>
      <c r="H4" s="13" t="s">
        <v>1411</v>
      </c>
    </row>
    <row r="5" spans="1:8" x14ac:dyDescent="0.25">
      <c r="A5" s="13" t="s">
        <v>102</v>
      </c>
      <c r="B5" s="13" t="s">
        <v>1412</v>
      </c>
      <c r="D5" s="13" t="s">
        <v>111</v>
      </c>
      <c r="E5" s="13" t="s">
        <v>1413</v>
      </c>
    </row>
    <row r="6" spans="1:8" x14ac:dyDescent="0.25">
      <c r="A6" s="13" t="s">
        <v>177</v>
      </c>
      <c r="B6" s="13" t="s">
        <v>1414</v>
      </c>
      <c r="D6" s="13" t="s">
        <v>191</v>
      </c>
      <c r="E6" s="13" t="s">
        <v>1415</v>
      </c>
    </row>
    <row r="7" spans="1:8" x14ac:dyDescent="0.25">
      <c r="D7" s="13" t="s">
        <v>1416</v>
      </c>
      <c r="E7" s="13" t="s">
        <v>1417</v>
      </c>
    </row>
    <row r="8" spans="1:8" x14ac:dyDescent="0.25">
      <c r="D8" s="13" t="s">
        <v>138</v>
      </c>
      <c r="E8" s="13" t="s">
        <v>1418</v>
      </c>
    </row>
    <row r="9" spans="1:8" x14ac:dyDescent="0.25">
      <c r="D9" s="13" t="s">
        <v>1419</v>
      </c>
      <c r="E9" s="13" t="s">
        <v>1420</v>
      </c>
    </row>
    <row r="10" spans="1:8" x14ac:dyDescent="0.25">
      <c r="D10" s="13" t="s">
        <v>237</v>
      </c>
      <c r="E10" s="13" t="s">
        <v>1208</v>
      </c>
    </row>
    <row r="11" spans="1:8" x14ac:dyDescent="0.25">
      <c r="D11" s="13" t="s">
        <v>139</v>
      </c>
      <c r="E11" s="13" t="s">
        <v>1421</v>
      </c>
    </row>
    <row r="12" spans="1:8" x14ac:dyDescent="0.25">
      <c r="D12" s="13" t="s">
        <v>110</v>
      </c>
      <c r="E12" s="13" t="s">
        <v>1422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LISEZ-MOI</vt:lpstr>
      <vt:lpstr>TABLEAU_Placette</vt:lpstr>
      <vt:lpstr>SAISIE_Abroutissement</vt:lpstr>
      <vt:lpstr>TABLEAU_Floristique</vt:lpstr>
      <vt:lpstr>CALCUL_Taux</vt:lpstr>
      <vt:lpstr>CALCUL_Ligneux</vt:lpstr>
      <vt:lpstr>CLASSES_Structure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gabin laville</cp:lastModifiedBy>
  <cp:revision>122</cp:revision>
  <cp:lastPrinted>2026-06-25T13:31:36Z</cp:lastPrinted>
  <dcterms:created xsi:type="dcterms:W3CDTF">2026-04-03T07:47:46Z</dcterms:created>
  <dcterms:modified xsi:type="dcterms:W3CDTF">2026-09-11T17:10:28Z</dcterms:modified>
  <dc:language>fr-FR</dc:language>
</cp:coreProperties>
</file>